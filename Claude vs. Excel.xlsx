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tuhan/Desktop/"/>
    </mc:Choice>
  </mc:AlternateContent>
  <xr:revisionPtr revIDLastSave="0" documentId="13_ncr:1_{400FCF44-AB46-0849-8281-763116493F4A}" xr6:coauthVersionLast="47" xr6:coauthVersionMax="47" xr10:uidLastSave="{00000000-0000-0000-0000-000000000000}"/>
  <bookViews>
    <workbookView xWindow="0" yWindow="500" windowWidth="38400" windowHeight="19400" activeTab="2" xr2:uid="{0F1AE780-0920-FA4B-B5E1-0790B7AEC98C}"/>
  </bookViews>
  <sheets>
    <sheet name="Veri temizleme" sheetId="1" r:id="rId1"/>
    <sheet name="Veri Cekme" sheetId="8" r:id="rId2"/>
    <sheet name="Formül Düzeltme" sheetId="3" r:id="rId3"/>
    <sheet name="Amortization Schedule" sheetId="6" r:id="rId4"/>
    <sheet name="Apple 10k Financial Model" sheetId="7" r:id="rId5"/>
    <sheet name="Data Analysis" sheetId="4" r:id="rId6"/>
    <sheet name="Dashboard Data" sheetId="5" r:id="rId7"/>
  </sheets>
  <definedNames>
    <definedName name="age">#REF!</definedName>
    <definedName name="count">#REF!</definedName>
    <definedName name="worth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 a="1"/>
  <c r="H3" i="3" s="1"/>
  <c r="J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<sst xmlns="http://schemas.openxmlformats.org/spreadsheetml/2006/main" count="1303" uniqueCount="553">
  <si>
    <t>Amazon</t>
  </si>
  <si>
    <t>2025-25-10</t>
  </si>
  <si>
    <t>Nike</t>
  </si>
  <si>
    <t>4829</t>
  </si>
  <si>
    <t>04/18/2025</t>
  </si>
  <si>
    <t>73O1</t>
  </si>
  <si>
    <t>PayPal</t>
  </si>
  <si>
    <t>9055</t>
  </si>
  <si>
    <t>Walmart</t>
  </si>
  <si>
    <t>Customer</t>
  </si>
  <si>
    <t>Region</t>
  </si>
  <si>
    <t>Category</t>
  </si>
  <si>
    <t>Unit Price</t>
  </si>
  <si>
    <t>Revenue</t>
  </si>
  <si>
    <t>Payment</t>
  </si>
  <si>
    <t>Emma</t>
  </si>
  <si>
    <t>Asia</t>
  </si>
  <si>
    <t>Books</t>
  </si>
  <si>
    <t>Card</t>
  </si>
  <si>
    <t>Australia</t>
  </si>
  <si>
    <t>Clothing</t>
  </si>
  <si>
    <t>Transfer</t>
  </si>
  <si>
    <t>George</t>
  </si>
  <si>
    <t>Europe</t>
  </si>
  <si>
    <t>Home &amp; Kitchen</t>
  </si>
  <si>
    <t>Alice</t>
  </si>
  <si>
    <t>Mike</t>
  </si>
  <si>
    <t>Electronics</t>
  </si>
  <si>
    <t>Bob</t>
  </si>
  <si>
    <t>North America</t>
  </si>
  <si>
    <t>Toys</t>
  </si>
  <si>
    <t>Jess</t>
  </si>
  <si>
    <t>Fiona</t>
  </si>
  <si>
    <t>Charlie</t>
  </si>
  <si>
    <t>Wong</t>
  </si>
  <si>
    <t>Lin</t>
  </si>
  <si>
    <t xml:space="preserve">Find the revenue by category and give me the total revenue on the bottom. </t>
  </si>
  <si>
    <t>Rank</t>
  </si>
  <si>
    <t>Person Name</t>
  </si>
  <si>
    <t>Country</t>
  </si>
  <si>
    <t>City</t>
  </si>
  <si>
    <t>Source</t>
  </si>
  <si>
    <t>Industries</t>
  </si>
  <si>
    <t>Self Made</t>
  </si>
  <si>
    <t>Gender</t>
  </si>
  <si>
    <t>Lastname</t>
  </si>
  <si>
    <t>Firstname</t>
  </si>
  <si>
    <t>Finalworth</t>
  </si>
  <si>
    <t>Age</t>
  </si>
  <si>
    <t>Bernard Arnault</t>
  </si>
  <si>
    <t>Fashion &amp; Retail</t>
  </si>
  <si>
    <t>France</t>
  </si>
  <si>
    <t>EMEA</t>
  </si>
  <si>
    <t>Paris</t>
  </si>
  <si>
    <t>LVMH</t>
  </si>
  <si>
    <t>False</t>
  </si>
  <si>
    <t>Male</t>
  </si>
  <si>
    <t>Arnault</t>
  </si>
  <si>
    <t>Bernard</t>
  </si>
  <si>
    <t>Elon Musk</t>
  </si>
  <si>
    <t>Automotive</t>
  </si>
  <si>
    <t>United States</t>
  </si>
  <si>
    <t>NA</t>
  </si>
  <si>
    <t>Austin</t>
  </si>
  <si>
    <t>Tesla, SpaceX</t>
  </si>
  <si>
    <t>True</t>
  </si>
  <si>
    <t>Musk</t>
  </si>
  <si>
    <t>Elon</t>
  </si>
  <si>
    <t>Jeff Bezos</t>
  </si>
  <si>
    <t>Technology</t>
  </si>
  <si>
    <t>Medina</t>
  </si>
  <si>
    <t>Bezos</t>
  </si>
  <si>
    <t>Jeff</t>
  </si>
  <si>
    <t>Larry Ellison</t>
  </si>
  <si>
    <t>Lanai</t>
  </si>
  <si>
    <t>Oracle</t>
  </si>
  <si>
    <t>Ellison</t>
  </si>
  <si>
    <t>Larry</t>
  </si>
  <si>
    <t>Warren Buffett</t>
  </si>
  <si>
    <t>Finance</t>
  </si>
  <si>
    <t>Omaha</t>
  </si>
  <si>
    <t>Berkshire Hathaway</t>
  </si>
  <si>
    <t>Buffett</t>
  </si>
  <si>
    <t>Warren</t>
  </si>
  <si>
    <t>Bill Gates</t>
  </si>
  <si>
    <t>Microsoft</t>
  </si>
  <si>
    <t>Gates</t>
  </si>
  <si>
    <t>Bill</t>
  </si>
  <si>
    <t>Michael Bloomberg</t>
  </si>
  <si>
    <t>Media</t>
  </si>
  <si>
    <t>New York</t>
  </si>
  <si>
    <t>Bloomberg LP</t>
  </si>
  <si>
    <t>Bloomberg</t>
  </si>
  <si>
    <t>Michael</t>
  </si>
  <si>
    <t>Carlos Slim</t>
  </si>
  <si>
    <t>Telecom</t>
  </si>
  <si>
    <t>Mexico</t>
  </si>
  <si>
    <t>Mexico City</t>
  </si>
  <si>
    <t>Slim Helu</t>
  </si>
  <si>
    <t>Carlos</t>
  </si>
  <si>
    <t>Mukesh Ambani</t>
  </si>
  <si>
    <t>Diversified</t>
  </si>
  <si>
    <t>India</t>
  </si>
  <si>
    <t>APAC</t>
  </si>
  <si>
    <t>Mumbai</t>
  </si>
  <si>
    <t>Ambani</t>
  </si>
  <si>
    <t>Mukesh</t>
  </si>
  <si>
    <t>Steve Ballmer</t>
  </si>
  <si>
    <t>Hunts Point</t>
  </si>
  <si>
    <t>Ballmer</t>
  </si>
  <si>
    <t>Steve</t>
  </si>
  <si>
    <t>Francoise Bettencourt</t>
  </si>
  <si>
    <t>L'Oréal</t>
  </si>
  <si>
    <t>Female</t>
  </si>
  <si>
    <t>Bettencourt Meyers</t>
  </si>
  <si>
    <t>Francoise</t>
  </si>
  <si>
    <t>Larry Page</t>
  </si>
  <si>
    <t>Palo Alto</t>
  </si>
  <si>
    <t>Google</t>
  </si>
  <si>
    <t>Page</t>
  </si>
  <si>
    <t>Amancio Ortega</t>
  </si>
  <si>
    <t>Spain</t>
  </si>
  <si>
    <t>La Coruna</t>
  </si>
  <si>
    <t>Zara</t>
  </si>
  <si>
    <t>Ortega</t>
  </si>
  <si>
    <t>Amancio</t>
  </si>
  <si>
    <t>Sergey Brin</t>
  </si>
  <si>
    <t>Los Altos</t>
  </si>
  <si>
    <t>Brin</t>
  </si>
  <si>
    <t>Sergey</t>
  </si>
  <si>
    <t>Zhong Shanshan</t>
  </si>
  <si>
    <t>Food &amp; Beverage</t>
  </si>
  <si>
    <t>China</t>
  </si>
  <si>
    <t>Hangzhou</t>
  </si>
  <si>
    <t>Beverages, pharmaceuticals</t>
  </si>
  <si>
    <t>Zhong</t>
  </si>
  <si>
    <t>Shanshan</t>
  </si>
  <si>
    <t>Mark Zuckerberg</t>
  </si>
  <si>
    <t>Facebook</t>
  </si>
  <si>
    <t>Zuckerberg</t>
  </si>
  <si>
    <t>Mark</t>
  </si>
  <si>
    <t>Charles Koch</t>
  </si>
  <si>
    <t>Wichita</t>
  </si>
  <si>
    <t>Koch Industries</t>
  </si>
  <si>
    <t>Koch</t>
  </si>
  <si>
    <t>Charles</t>
  </si>
  <si>
    <t>Julia Koch</t>
  </si>
  <si>
    <t>Julia</t>
  </si>
  <si>
    <t>Jim Walton</t>
  </si>
  <si>
    <t>Bentonville</t>
  </si>
  <si>
    <t>Walton</t>
  </si>
  <si>
    <t>Jim</t>
  </si>
  <si>
    <t>Rob Walton</t>
  </si>
  <si>
    <t>Rob</t>
  </si>
  <si>
    <t>Alice Walton</t>
  </si>
  <si>
    <t>Fort Worth</t>
  </si>
  <si>
    <t>David Thomson</t>
  </si>
  <si>
    <t>Canada</t>
  </si>
  <si>
    <t>Toronto</t>
  </si>
  <si>
    <t>Thomson</t>
  </si>
  <si>
    <t>David</t>
  </si>
  <si>
    <t>Michael Dell</t>
  </si>
  <si>
    <t>Dell Technologies</t>
  </si>
  <si>
    <t>Dell</t>
  </si>
  <si>
    <t>Gautam Adani</t>
  </si>
  <si>
    <t>Ahmedabad</t>
  </si>
  <si>
    <t>Infrastructure, commodities</t>
  </si>
  <si>
    <t>Adani</t>
  </si>
  <si>
    <t>Gautam</t>
  </si>
  <si>
    <t>Phil Knight</t>
  </si>
  <si>
    <t>Hillsboro</t>
  </si>
  <si>
    <t>Knight</t>
  </si>
  <si>
    <t>Phil</t>
  </si>
  <si>
    <t>Zhang Yiming</t>
  </si>
  <si>
    <t>Beijing</t>
  </si>
  <si>
    <t>TikTok</t>
  </si>
  <si>
    <t>Zhang</t>
  </si>
  <si>
    <t>Yiming</t>
  </si>
  <si>
    <t>Dieter Schwarz</t>
  </si>
  <si>
    <t>Germany</t>
  </si>
  <si>
    <t>Neckarsulm</t>
  </si>
  <si>
    <t>Retail</t>
  </si>
  <si>
    <t>Schwarz</t>
  </si>
  <si>
    <t>Dieter</t>
  </si>
  <si>
    <t>François Pinault &amp; family</t>
  </si>
  <si>
    <t>Luxury goods</t>
  </si>
  <si>
    <t>Pinault</t>
  </si>
  <si>
    <t>François</t>
  </si>
  <si>
    <t>Klaus-Michael Kuehne</t>
  </si>
  <si>
    <t>Logistics</t>
  </si>
  <si>
    <t>Switzerland</t>
  </si>
  <si>
    <t>Schindellegi</t>
  </si>
  <si>
    <t>Shipping</t>
  </si>
  <si>
    <t>Kuehne</t>
  </si>
  <si>
    <t>Klaus-Michael</t>
  </si>
  <si>
    <t>Giovanni Ferrero</t>
  </si>
  <si>
    <t>Belgium</t>
  </si>
  <si>
    <t>Brussels</t>
  </si>
  <si>
    <t>Nutella, chocolates</t>
  </si>
  <si>
    <t>Ferrero</t>
  </si>
  <si>
    <t>Giovanni</t>
  </si>
  <si>
    <t>Jacqueline Mars</t>
  </si>
  <si>
    <t>The Plains</t>
  </si>
  <si>
    <t>Candy, pet food</t>
  </si>
  <si>
    <t>Mars</t>
  </si>
  <si>
    <t>Jacqueline</t>
  </si>
  <si>
    <t>John Mars</t>
  </si>
  <si>
    <t>Jackson</t>
  </si>
  <si>
    <t>John</t>
  </si>
  <si>
    <t>Ma Huateng</t>
  </si>
  <si>
    <t>Shenzhen</t>
  </si>
  <si>
    <t>Internet media</t>
  </si>
  <si>
    <t>Ma</t>
  </si>
  <si>
    <t>Huateng</t>
  </si>
  <si>
    <t>Miriam Adelson &amp; family</t>
  </si>
  <si>
    <t>Gambling</t>
  </si>
  <si>
    <t>Las Vegas</t>
  </si>
  <si>
    <t>Casinos</t>
  </si>
  <si>
    <t>Adelson</t>
  </si>
  <si>
    <t>Miriam</t>
  </si>
  <si>
    <t>Ken Griffin</t>
  </si>
  <si>
    <t>Miami</t>
  </si>
  <si>
    <t>Hedge funds</t>
  </si>
  <si>
    <t>Griffin</t>
  </si>
  <si>
    <t>Ken</t>
  </si>
  <si>
    <t>Mark Mateschitz</t>
  </si>
  <si>
    <t>Austria</t>
  </si>
  <si>
    <t>Salzburg</t>
  </si>
  <si>
    <t>Red Bull</t>
  </si>
  <si>
    <t>Mateschitz</t>
  </si>
  <si>
    <t>Robin Zeng</t>
  </si>
  <si>
    <t>Ningde</t>
  </si>
  <si>
    <t>Batteries</t>
  </si>
  <si>
    <t>Zeng</t>
  </si>
  <si>
    <t>Robin</t>
  </si>
  <si>
    <t>Tadashi Yanai &amp; family</t>
  </si>
  <si>
    <t>Japan</t>
  </si>
  <si>
    <t>Tokyo</t>
  </si>
  <si>
    <t>Fashion retail</t>
  </si>
  <si>
    <t>Yanai</t>
  </si>
  <si>
    <t>Tadashi</t>
  </si>
  <si>
    <t>Len Blavatnik</t>
  </si>
  <si>
    <t>United Kingdom</t>
  </si>
  <si>
    <t>London</t>
  </si>
  <si>
    <t>Music, chemicals</t>
  </si>
  <si>
    <t>Blavatnik</t>
  </si>
  <si>
    <t>Len</t>
  </si>
  <si>
    <t>Alain Wertheimer</t>
  </si>
  <si>
    <t>Chanel</t>
  </si>
  <si>
    <t>Wertheimer</t>
  </si>
  <si>
    <t>Alain</t>
  </si>
  <si>
    <t>Gerard Wertheimer</t>
  </si>
  <si>
    <t>Gerard</t>
  </si>
  <si>
    <t>Gianluigi Aponte</t>
  </si>
  <si>
    <t>Geneva</t>
  </si>
  <si>
    <t>Aponte</t>
  </si>
  <si>
    <t>Gianluigi</t>
  </si>
  <si>
    <t>Rafaela Aponte-Diamant</t>
  </si>
  <si>
    <t>Aponte-Diamant</t>
  </si>
  <si>
    <t>Rafaela</t>
  </si>
  <si>
    <t>Colin Zheng Huang</t>
  </si>
  <si>
    <t>Shanghai</t>
  </si>
  <si>
    <t>E-commerce</t>
  </si>
  <si>
    <t>Huang</t>
  </si>
  <si>
    <t>Colin Zheng</t>
  </si>
  <si>
    <t>Reinhold Wuerth &amp; family</t>
  </si>
  <si>
    <t>Manufacturing</t>
  </si>
  <si>
    <t>Kuenzelsau</t>
  </si>
  <si>
    <t>Fasteners</t>
  </si>
  <si>
    <t>Wuerth</t>
  </si>
  <si>
    <t>Reinhold</t>
  </si>
  <si>
    <t>Jeff Yass</t>
  </si>
  <si>
    <t>Haverford</t>
  </si>
  <si>
    <t>Trading, investments</t>
  </si>
  <si>
    <t>Yass</t>
  </si>
  <si>
    <t>Jim Simons</t>
  </si>
  <si>
    <t>East Setauket</t>
  </si>
  <si>
    <t>Simons</t>
  </si>
  <si>
    <t>Stephen Schwarzman</t>
  </si>
  <si>
    <t>Investments</t>
  </si>
  <si>
    <t>Schwarzman</t>
  </si>
  <si>
    <t>Stephen</t>
  </si>
  <si>
    <t>Susanne Klatten</t>
  </si>
  <si>
    <t>Bad Homburg</t>
  </si>
  <si>
    <t>BMW, pharmaceuticals</t>
  </si>
  <si>
    <t>Klatten</t>
  </si>
  <si>
    <t>Susanne</t>
  </si>
  <si>
    <t>Gina Rinehart</t>
  </si>
  <si>
    <t>Metals &amp; Mining</t>
  </si>
  <si>
    <t>Perth</t>
  </si>
  <si>
    <t>Mining</t>
  </si>
  <si>
    <t>Rinehart</t>
  </si>
  <si>
    <t>Gina</t>
  </si>
  <si>
    <t>William Ding</t>
  </si>
  <si>
    <t>Online games</t>
  </si>
  <si>
    <t>Ding</t>
  </si>
  <si>
    <t>William</t>
  </si>
  <si>
    <t>Germán Larrea Mota Velasco &amp; family</t>
  </si>
  <si>
    <t>Larrea Mota Velasco</t>
  </si>
  <si>
    <t>Germán</t>
  </si>
  <si>
    <t>Shiv Nadar</t>
  </si>
  <si>
    <t>Delhi</t>
  </si>
  <si>
    <t>software services</t>
  </si>
  <si>
    <t>Nadar</t>
  </si>
  <si>
    <t>Shiv</t>
  </si>
  <si>
    <t>Low Tuck Kwong</t>
  </si>
  <si>
    <t>Energy</t>
  </si>
  <si>
    <t>Indonesia</t>
  </si>
  <si>
    <t>Jakarta</t>
  </si>
  <si>
    <t>Coal</t>
  </si>
  <si>
    <t>Low Tuck</t>
  </si>
  <si>
    <t>Kwong</t>
  </si>
  <si>
    <t>Thomas Peterffy</t>
  </si>
  <si>
    <t>Palm Beach</t>
  </si>
  <si>
    <t>Discount brokerage</t>
  </si>
  <si>
    <t>Peterffy</t>
  </si>
  <si>
    <t>Thomas</t>
  </si>
  <si>
    <t>Andrey Melnichenko &amp; family</t>
  </si>
  <si>
    <t>United Arab Emirates</t>
  </si>
  <si>
    <t>Ras Al Khaimah</t>
  </si>
  <si>
    <t>Fertilizers, coal</t>
  </si>
  <si>
    <t>Melnichenko</t>
  </si>
  <si>
    <t>Andrey</t>
  </si>
  <si>
    <t>Stefan Quandt</t>
  </si>
  <si>
    <t>Frankfurt</t>
  </si>
  <si>
    <t>BMW</t>
  </si>
  <si>
    <t>Quandt</t>
  </si>
  <si>
    <t>Stefan</t>
  </si>
  <si>
    <t>MacKenzie Scott</t>
  </si>
  <si>
    <t>Seattle</t>
  </si>
  <si>
    <t>Scott</t>
  </si>
  <si>
    <t>MacKenzie</t>
  </si>
  <si>
    <t>R. Budi Hartono</t>
  </si>
  <si>
    <t>Kudus</t>
  </si>
  <si>
    <t>Banking, tobacco</t>
  </si>
  <si>
    <t>Hartono</t>
  </si>
  <si>
    <t>R. Budi</t>
  </si>
  <si>
    <t>Vladimir Potanin</t>
  </si>
  <si>
    <t>Russia</t>
  </si>
  <si>
    <t>Moscow</t>
  </si>
  <si>
    <t>Metals</t>
  </si>
  <si>
    <t>Potanin</t>
  </si>
  <si>
    <t>Vladimir</t>
  </si>
  <si>
    <t>Jack Ma</t>
  </si>
  <si>
    <t>Jack</t>
  </si>
  <si>
    <t>He Xiangjian &amp; family</t>
  </si>
  <si>
    <t>Foshan</t>
  </si>
  <si>
    <t>Home appliances</t>
  </si>
  <si>
    <t>He</t>
  </si>
  <si>
    <t>Xiangjian</t>
  </si>
  <si>
    <t>Iris Fontbona &amp; family</t>
  </si>
  <si>
    <t>Chile</t>
  </si>
  <si>
    <t>LATAM</t>
  </si>
  <si>
    <t>Santiago</t>
  </si>
  <si>
    <t>Fontbona</t>
  </si>
  <si>
    <t>Iris</t>
  </si>
  <si>
    <t>Michael Hartono</t>
  </si>
  <si>
    <t>James Ratcliffe</t>
  </si>
  <si>
    <t>Chemicals</t>
  </si>
  <si>
    <t>Ratcliffe</t>
  </si>
  <si>
    <t>James</t>
  </si>
  <si>
    <t>Cyrus Poonawalla</t>
  </si>
  <si>
    <t>Healthcare</t>
  </si>
  <si>
    <t>Pune</t>
  </si>
  <si>
    <t>Vaccines</t>
  </si>
  <si>
    <t>Poonawalla</t>
  </si>
  <si>
    <t>Cyrus</t>
  </si>
  <si>
    <t>Masayoshi Son</t>
  </si>
  <si>
    <t>Internet, telecom</t>
  </si>
  <si>
    <t>Son</t>
  </si>
  <si>
    <t>Masayoshi</t>
  </si>
  <si>
    <t>Vladimir Lisin</t>
  </si>
  <si>
    <t>Steel, transport</t>
  </si>
  <si>
    <t>Lisin</t>
  </si>
  <si>
    <t>Emmanuel Besnier</t>
  </si>
  <si>
    <t>Laval</t>
  </si>
  <si>
    <t>Cheese</t>
  </si>
  <si>
    <t>Besnier</t>
  </si>
  <si>
    <t>Emmanuel</t>
  </si>
  <si>
    <t>Abigail Johnson</t>
  </si>
  <si>
    <t>Milton</t>
  </si>
  <si>
    <t>Fidelity</t>
  </si>
  <si>
    <t>Johnson</t>
  </si>
  <si>
    <t>Abigail</t>
  </si>
  <si>
    <t>Leonid Mikhelson &amp; family</t>
  </si>
  <si>
    <t>Gas, chemicals</t>
  </si>
  <si>
    <t>Mikhelson</t>
  </si>
  <si>
    <t>Leonid</t>
  </si>
  <si>
    <t>Lukas Walton</t>
  </si>
  <si>
    <t>Chicago</t>
  </si>
  <si>
    <t>Lukas</t>
  </si>
  <si>
    <t>Wang Wei</t>
  </si>
  <si>
    <t>Service</t>
  </si>
  <si>
    <t>Package delivery</t>
  </si>
  <si>
    <t>Wang</t>
  </si>
  <si>
    <t>Wei</t>
  </si>
  <si>
    <t>Jensen Huang</t>
  </si>
  <si>
    <t>Semiconductors</t>
  </si>
  <si>
    <t>Jensen</t>
  </si>
  <si>
    <t>Leonard Lauder</t>
  </si>
  <si>
    <t>Estee Lauder</t>
  </si>
  <si>
    <t>Lauder</t>
  </si>
  <si>
    <t>Leonard</t>
  </si>
  <si>
    <t>Takemitsu Takizaki</t>
  </si>
  <si>
    <t>Osaka</t>
  </si>
  <si>
    <t>Sensors</t>
  </si>
  <si>
    <t>Takizaki</t>
  </si>
  <si>
    <t>Takemitsu</t>
  </si>
  <si>
    <t>Alexey Mordashov &amp; family</t>
  </si>
  <si>
    <t>Steel, investments</t>
  </si>
  <si>
    <t>Mordashov</t>
  </si>
  <si>
    <t>Alexey</t>
  </si>
  <si>
    <t>Vagit Alekperov</t>
  </si>
  <si>
    <t>Oil</t>
  </si>
  <si>
    <t>Alekperov</t>
  </si>
  <si>
    <t>Vagit</t>
  </si>
  <si>
    <t>Thomas Frist, Jr. &amp; family</t>
  </si>
  <si>
    <t>Nashville</t>
  </si>
  <si>
    <t>Hospitals</t>
  </si>
  <si>
    <t>Frist</t>
  </si>
  <si>
    <t>Andrew Forrest</t>
  </si>
  <si>
    <t>Forrest</t>
  </si>
  <si>
    <t>Andrew</t>
  </si>
  <si>
    <t>Ray Dalio</t>
  </si>
  <si>
    <t>Greenwich</t>
  </si>
  <si>
    <t>Dalio</t>
  </si>
  <si>
    <t>Ray</t>
  </si>
  <si>
    <t>Eric Li</t>
  </si>
  <si>
    <t>Automobiles</t>
  </si>
  <si>
    <t>Li</t>
  </si>
  <si>
    <t>Eric</t>
  </si>
  <si>
    <t>Wang Wenyin</t>
  </si>
  <si>
    <t>Mining, copper products</t>
  </si>
  <si>
    <t>Wenyin</t>
  </si>
  <si>
    <t>Qin Yinglin</t>
  </si>
  <si>
    <t>Nanyang</t>
  </si>
  <si>
    <t>Pig breeding</t>
  </si>
  <si>
    <t>Qin</t>
  </si>
  <si>
    <t>Yinglin</t>
  </si>
  <si>
    <t>Wang Chuanfu</t>
  </si>
  <si>
    <t>Batteries, automobiles</t>
  </si>
  <si>
    <t>Chuanfu</t>
  </si>
  <si>
    <t>Harold Hamm &amp; family</t>
  </si>
  <si>
    <t>Oklahoma City</t>
  </si>
  <si>
    <t>Oil &amp; gas</t>
  </si>
  <si>
    <t>Hamm</t>
  </si>
  <si>
    <t>Harold</t>
  </si>
  <si>
    <t>David Tepper</t>
  </si>
  <si>
    <t>Tepper</t>
  </si>
  <si>
    <t>Gennady Timchenko</t>
  </si>
  <si>
    <t>Oil, gas</t>
  </si>
  <si>
    <t>Timchenko</t>
  </si>
  <si>
    <t>Gennady</t>
  </si>
  <si>
    <t>Daniel Gilbert</t>
  </si>
  <si>
    <t>Franklin</t>
  </si>
  <si>
    <t>Quicken Loans</t>
  </si>
  <si>
    <t>Gilbert</t>
  </si>
  <si>
    <t>Daniel</t>
  </si>
  <si>
    <t>Lakshmi Mittal</t>
  </si>
  <si>
    <t>Steel</t>
  </si>
  <si>
    <t>Mittal</t>
  </si>
  <si>
    <t>Lakshmi</t>
  </si>
  <si>
    <t>Steve Cohen</t>
  </si>
  <si>
    <t>Cohen</t>
  </si>
  <si>
    <t>Carl Icahn</t>
  </si>
  <si>
    <t>Indian Creek</t>
  </si>
  <si>
    <t>Icahn</t>
  </si>
  <si>
    <t>Carl</t>
  </si>
  <si>
    <t>Savitri Jindal &amp; family</t>
  </si>
  <si>
    <t>Hisar</t>
  </si>
  <si>
    <t>Jindal</t>
  </si>
  <si>
    <t>Savitri</t>
  </si>
  <si>
    <t>Donald Bren</t>
  </si>
  <si>
    <t>Real Estate</t>
  </si>
  <si>
    <t>Newport Beach</t>
  </si>
  <si>
    <t>Real estate</t>
  </si>
  <si>
    <t>Bren</t>
  </si>
  <si>
    <t>Donald</t>
  </si>
  <si>
    <t>John Menard, Jr.</t>
  </si>
  <si>
    <t>Eau Claire</t>
  </si>
  <si>
    <t>Home improvement stores</t>
  </si>
  <si>
    <t>Menard</t>
  </si>
  <si>
    <t>Rupert Murdoch &amp; family</t>
  </si>
  <si>
    <t>Newspapers, TV network</t>
  </si>
  <si>
    <t>Murdoch</t>
  </si>
  <si>
    <t>Rupert</t>
  </si>
  <si>
    <t>Vicky Safra &amp; family</t>
  </si>
  <si>
    <t>Crans-Montana</t>
  </si>
  <si>
    <t>Banking</t>
  </si>
  <si>
    <t>Safra</t>
  </si>
  <si>
    <t>Vicky</t>
  </si>
  <si>
    <t>High / Low</t>
  </si>
  <si>
    <t>I have a $600k 20 year mortgage with a 5% interest. Create an amortization table breaking down the outstanding balance, and the interest payment breakdown (principal vs interest).</t>
  </si>
  <si>
    <t>Sample Prompt:</t>
  </si>
  <si>
    <t>https://d18rn0p25nwr6d.cloudfront.net/CIK-0000320193/c24e7a28-5254-4dfa-9447-62aaa3c24bb1.pdf</t>
  </si>
  <si>
    <t>Download Apple's 10K annual report here:</t>
  </si>
  <si>
    <t xml:space="preserve">Using Apple's most recent annual report, I've built a clean three-statement model and forecast it forward five years. Use reasonable assumptions where needed, keep input separate, and make sure there are no errors. </t>
  </si>
  <si>
    <t>Sample Script:</t>
  </si>
  <si>
    <t>Şirket</t>
  </si>
  <si>
    <t>İsim</t>
  </si>
  <si>
    <t>Adet</t>
  </si>
  <si>
    <t>Sipariş Tarihi</t>
  </si>
  <si>
    <t>Arçelik</t>
  </si>
  <si>
    <t>Arçelık</t>
  </si>
  <si>
    <t>Beko</t>
  </si>
  <si>
    <t>Vestel</t>
  </si>
  <si>
    <t>Vestel.com</t>
  </si>
  <si>
    <t>Altus</t>
  </si>
  <si>
    <t>altus</t>
  </si>
  <si>
    <t>Hoover</t>
  </si>
  <si>
    <t>Grundig</t>
  </si>
  <si>
    <t>Grundg</t>
  </si>
  <si>
    <t xml:space="preserve">Kalben Sağdıç </t>
  </si>
  <si>
    <t xml:space="preserve"> Kalben Sağdıç</t>
  </si>
  <si>
    <t>Kaan Tangöze</t>
  </si>
  <si>
    <t>Can Baydar</t>
  </si>
  <si>
    <t>Fatma Turgut</t>
  </si>
  <si>
    <t>Hartun Tekin</t>
  </si>
  <si>
    <t>Hartun Tekin1</t>
  </si>
  <si>
    <t>Nazan Öncel</t>
  </si>
  <si>
    <t>Q1</t>
  </si>
  <si>
    <t>Q2</t>
  </si>
  <si>
    <t>Q3</t>
  </si>
  <si>
    <t>Q4</t>
  </si>
  <si>
    <t>YEAR</t>
  </si>
  <si>
    <r>
      <rPr>
        <b/>
        <sz val="12"/>
        <color theme="1"/>
        <rFont val="Aptos Narrow"/>
        <scheme val="minor"/>
      </rPr>
      <t xml:space="preserve">Prompt:  </t>
    </r>
    <r>
      <rPr>
        <sz val="12"/>
        <color theme="1"/>
        <rFont val="Aptos Narrow"/>
        <family val="2"/>
        <scheme val="minor"/>
      </rPr>
      <t>Fix the typeos' in names, numbers, and dates.</t>
    </r>
  </si>
  <si>
    <t>Ödeme</t>
  </si>
  <si>
    <t>Kart</t>
  </si>
  <si>
    <t>Kar</t>
  </si>
  <si>
    <t>Adetr Ücreti</t>
  </si>
  <si>
    <t>Kategori</t>
  </si>
  <si>
    <t>Bölge</t>
  </si>
  <si>
    <t>Müşteri</t>
  </si>
  <si>
    <t>Emir</t>
  </si>
  <si>
    <t>Giray</t>
  </si>
  <si>
    <t>Ali</t>
  </si>
  <si>
    <t>Mert</t>
  </si>
  <si>
    <t>Batu</t>
  </si>
  <si>
    <t>Julya</t>
  </si>
  <si>
    <t>Can</t>
  </si>
  <si>
    <t>Feyza</t>
  </si>
  <si>
    <t>Onur</t>
  </si>
  <si>
    <t>Leyla</t>
  </si>
  <si>
    <t>Kitap</t>
  </si>
  <si>
    <t>Asya</t>
  </si>
  <si>
    <t>Avrupa</t>
  </si>
  <si>
    <t>Kıyafet</t>
  </si>
  <si>
    <t>Oyuncak</t>
  </si>
  <si>
    <t>Kozmetik</t>
  </si>
  <si>
    <t>Elektronik</t>
  </si>
  <si>
    <t>Mobilya</t>
  </si>
  <si>
    <t>Gıda</t>
  </si>
  <si>
    <r>
      <t xml:space="preserve">Prompt: </t>
    </r>
    <r>
      <rPr>
        <sz val="12"/>
        <color theme="1"/>
        <rFont val="Aptos Narrow"/>
        <scheme val="minor"/>
      </rPr>
      <t>Import the 'Türkiye Strateji ve Bütçe Bakanlığı' data from the website ' https://www.sbb.gov.tr' about quarterly growth over the years from 2010 to 2025 for all for quarters seperately.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</si>
</sst>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#,##0_ ;\-#,##0\ "/>
  </numFmts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0"/>
      <name val="Aptos Narrow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2"/>
      <color theme="1" tint="4.9989318521683403E-2"/>
      <name val="Aptos Narrow"/>
      <scheme val="minor"/>
    </font>
    <font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6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  <xf numFmtId="0" fontId="1" fillId="0" borderId="0"/>
    <xf numFmtId="0" fontId="7" fillId="0" borderId="0" applyNumberFormat="0" applyFill="0" applyBorder="0" applyAlignment="0" applyProtection="0"/>
  </cellStyleXfs>
  <cellXfs count="38">
    <xf numFmtId="0" fontId="0" fillId="0" borderId="0" xfId="0"/>
    <xf numFmtId="0" fontId="4" fillId="2" borderId="0" xfId="0" applyFont="1" applyFill="1" applyAlignment="1">
      <alignment horizontal="center" vertical="top"/>
    </xf>
    <xf numFmtId="0" fontId="5" fillId="3" borderId="0" xfId="0" applyFont="1" applyFill="1" applyAlignment="1">
      <alignment horizontal="center"/>
    </xf>
    <xf numFmtId="165" fontId="0" fillId="0" borderId="0" xfId="1" applyNumberFormat="1" applyFont="1" applyAlignment="1">
      <alignment horizontal="center"/>
    </xf>
    <xf numFmtId="0" fontId="2" fillId="4" borderId="0" xfId="2" applyFont="1" applyFill="1" applyAlignment="1">
      <alignment horizontal="center"/>
    </xf>
    <xf numFmtId="0" fontId="2" fillId="4" borderId="0" xfId="2" applyFont="1" applyFill="1"/>
    <xf numFmtId="0" fontId="1" fillId="0" borderId="0" xfId="2" applyAlignment="1">
      <alignment horizontal="center"/>
    </xf>
    <xf numFmtId="0" fontId="1" fillId="0" borderId="0" xfId="2"/>
    <xf numFmtId="3" fontId="1" fillId="0" borderId="0" xfId="2" applyNumberFormat="1"/>
    <xf numFmtId="0" fontId="6" fillId="0" borderId="0" xfId="0" applyFont="1"/>
    <xf numFmtId="0" fontId="7" fillId="0" borderId="0" xfId="3"/>
    <xf numFmtId="0" fontId="0" fillId="5" borderId="0" xfId="0" applyFill="1"/>
    <xf numFmtId="0" fontId="0" fillId="0" borderId="1" xfId="0" applyBorder="1"/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14" fontId="0" fillId="0" borderId="2" xfId="0" applyNumberFormat="1" applyBorder="1"/>
    <xf numFmtId="0" fontId="3" fillId="0" borderId="0" xfId="0" applyFont="1" applyAlignment="1">
      <alignment horizontal="left"/>
    </xf>
    <xf numFmtId="0" fontId="0" fillId="0" borderId="2" xfId="0" applyBorder="1" applyAlignment="1">
      <alignment horizontal="right"/>
    </xf>
    <xf numFmtId="14" fontId="0" fillId="0" borderId="2" xfId="0" applyNumberFormat="1" applyBorder="1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3" fontId="0" fillId="0" borderId="4" xfId="0" applyNumberFormat="1" applyBorder="1" applyAlignment="1">
      <alignment horizontal="right"/>
    </xf>
    <xf numFmtId="14" fontId="0" fillId="0" borderId="5" xfId="0" applyNumberFormat="1" applyBorder="1"/>
    <xf numFmtId="0" fontId="8" fillId="6" borderId="6" xfId="0" applyFont="1" applyFill="1" applyBorder="1"/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/>
    <xf numFmtId="0" fontId="0" fillId="0" borderId="9" xfId="0" applyBorder="1"/>
    <xf numFmtId="0" fontId="6" fillId="0" borderId="10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13" xfId="0" applyFont="1" applyBorder="1"/>
    <xf numFmtId="0" fontId="0" fillId="0" borderId="14" xfId="0" applyBorder="1"/>
    <xf numFmtId="0" fontId="6" fillId="0" borderId="15" xfId="0" applyFont="1" applyBorder="1"/>
    <xf numFmtId="0" fontId="0" fillId="0" borderId="16" xfId="0" applyBorder="1"/>
    <xf numFmtId="0" fontId="0" fillId="0" borderId="17" xfId="0" applyBorder="1"/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6" fillId="0" borderId="0" xfId="0" applyFont="1" applyAlignment="1">
      <alignment horizontal="left" vertical="top" wrapText="1"/>
    </xf>
  </cellXfs>
  <cellStyles count="6">
    <cellStyle name="Comma" xfId="1" builtinId="3"/>
    <cellStyle name="Hyperlink" xfId="3" builtinId="8"/>
    <cellStyle name="Hyperlink 2" xfId="5" xr:uid="{9A7715F7-3111-5649-B386-DA749E1DF205}"/>
    <cellStyle name="Normal" xfId="0" builtinId="0"/>
    <cellStyle name="Normal 2" xfId="2" xr:uid="{28BEBDD2-F520-5942-B517-6742A815AA2B}"/>
    <cellStyle name="Normal 2 2" xfId="4" xr:uid="{8E646EAE-123E-C641-9F6E-D040BC02E6EE}"/>
  </cellStyles>
  <dxfs count="3">
    <dxf>
      <numFmt numFmtId="3" formatCode="#,##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B7A31E-C84B-5445-B3E5-A9381FDC993D}" name="Table1" displayName="Table1" ref="B2:O99" totalsRowShown="0" headerRowDxfId="2" headerRowCellStyle="Normal 2" dataCellStyle="Normal 2">
  <autoFilter ref="B2:O99" xr:uid="{7EB7A31E-C84B-5445-B3E5-A9381FDC993D}"/>
  <tableColumns count="14">
    <tableColumn id="1" xr3:uid="{6EE1BDF1-2B14-AB4D-8824-8A9BA3B7D826}" name="Rank" dataDxfId="1" dataCellStyle="Normal 2"/>
    <tableColumn id="2" xr3:uid="{CA9F1C36-94A6-E74A-9DB1-49A13ED78A63}" name="Person Name" dataCellStyle="Normal 2"/>
    <tableColumn id="3" xr3:uid="{394EBDF1-0EC1-7046-8799-F7A43A1550B4}" name="Category" dataCellStyle="Normal 2"/>
    <tableColumn id="4" xr3:uid="{5EF80F73-7C2E-9B47-B7EC-B8A640FD6B8F}" name="Country" dataCellStyle="Normal 2"/>
    <tableColumn id="5" xr3:uid="{64732695-04B2-F444-A3B2-4357AC661CD1}" name="Region" dataCellStyle="Normal 2"/>
    <tableColumn id="6" xr3:uid="{A4E22C1A-D982-F841-BAAF-9D88D68CF5F1}" name="City" dataCellStyle="Normal 2"/>
    <tableColumn id="7" xr3:uid="{2BAC649B-6CB7-1749-BEFE-8FC4DAF295E6}" name="Source" dataCellStyle="Normal 2"/>
    <tableColumn id="8" xr3:uid="{E3A66881-24C5-BB4E-916B-F57C1C691B16}" name="Industries" dataCellStyle="Normal 2"/>
    <tableColumn id="9" xr3:uid="{1288C525-CE12-464A-A5CF-C97474619513}" name="Self Made" dataCellStyle="Normal 2"/>
    <tableColumn id="10" xr3:uid="{7915325C-914E-7846-A9FF-43FF6D756074}" name="Gender" dataCellStyle="Normal 2"/>
    <tableColumn id="11" xr3:uid="{1B47B52F-6E83-9B4C-BF05-C055B65C6378}" name="Lastname" dataCellStyle="Normal 2"/>
    <tableColumn id="12" xr3:uid="{32733ED8-15CC-4644-82D6-4F9CC376C412}" name="Firstname" dataCellStyle="Normal 2"/>
    <tableColumn id="13" xr3:uid="{59185540-C6CF-B345-B546-D79D83417295}" name="Finalworth" dataDxfId="0" dataCellStyle="Normal 2"/>
    <tableColumn id="14" xr3:uid="{EECFEABF-9534-E346-B765-8163809EEA9F}" name="Age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d18rn0p25nwr6d.cloudfront.net/CIK-0000320193/c24e7a28-5254-4dfa-9447-62aaa3c24bb1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FF11-F7FE-0B48-9503-01E00C351819}">
  <dimension ref="A1:J15"/>
  <sheetViews>
    <sheetView zoomScale="250" zoomScaleNormal="250" workbookViewId="0">
      <selection activeCell="F5" sqref="F5"/>
    </sheetView>
  </sheetViews>
  <sheetFormatPr baseColWidth="10" defaultRowHeight="16" x14ac:dyDescent="0.2"/>
  <cols>
    <col min="3" max="3" width="13.83203125" customWidth="1"/>
    <col min="5" max="5" width="11.83203125" bestFit="1" customWidth="1"/>
  </cols>
  <sheetData>
    <row r="1" spans="1:10" ht="17" thickBot="1" x14ac:dyDescent="0.25">
      <c r="A1" s="11"/>
      <c r="B1" s="11"/>
      <c r="C1" s="11"/>
      <c r="D1" s="11"/>
      <c r="E1" s="11"/>
      <c r="F1" s="11"/>
    </row>
    <row r="2" spans="1:10" ht="17" thickBot="1" x14ac:dyDescent="0.25">
      <c r="A2" s="11"/>
      <c r="B2" s="23" t="s">
        <v>498</v>
      </c>
      <c r="C2" s="24" t="s">
        <v>499</v>
      </c>
      <c r="D2" s="24" t="s">
        <v>500</v>
      </c>
      <c r="E2" s="25" t="s">
        <v>501</v>
      </c>
      <c r="F2" s="11"/>
    </row>
    <row r="3" spans="1:10" x14ac:dyDescent="0.2">
      <c r="A3" s="11"/>
      <c r="B3" s="12" t="s">
        <v>502</v>
      </c>
      <c r="C3" s="13" t="s">
        <v>512</v>
      </c>
      <c r="D3" s="14">
        <v>121</v>
      </c>
      <c r="E3" s="15">
        <v>45731</v>
      </c>
      <c r="F3" s="11"/>
    </row>
    <row r="4" spans="1:10" x14ac:dyDescent="0.2">
      <c r="A4" s="11"/>
      <c r="B4" s="12" t="s">
        <v>503</v>
      </c>
      <c r="C4" s="16" t="s">
        <v>513</v>
      </c>
      <c r="D4" s="14">
        <v>5678</v>
      </c>
      <c r="E4" s="17" t="s">
        <v>1</v>
      </c>
      <c r="F4" s="11"/>
      <c r="H4" s="35" t="s">
        <v>525</v>
      </c>
      <c r="I4" s="36"/>
      <c r="J4" s="36"/>
    </row>
    <row r="5" spans="1:10" x14ac:dyDescent="0.2">
      <c r="A5" s="11"/>
      <c r="B5" s="12" t="s">
        <v>504</v>
      </c>
      <c r="C5" s="13" t="s">
        <v>514</v>
      </c>
      <c r="D5" s="14">
        <v>3011</v>
      </c>
      <c r="E5" s="15">
        <v>45736</v>
      </c>
      <c r="F5" s="11"/>
      <c r="H5" s="36"/>
      <c r="I5" s="36"/>
      <c r="J5" s="36"/>
    </row>
    <row r="6" spans="1:10" x14ac:dyDescent="0.2">
      <c r="A6" s="11"/>
      <c r="B6" s="12" t="s">
        <v>504</v>
      </c>
      <c r="C6" t="s">
        <v>515</v>
      </c>
      <c r="D6" s="14">
        <v>1020</v>
      </c>
      <c r="E6" s="15">
        <v>45757</v>
      </c>
      <c r="F6" s="11"/>
      <c r="H6" s="36"/>
      <c r="I6" s="36"/>
      <c r="J6" s="36"/>
    </row>
    <row r="7" spans="1:10" x14ac:dyDescent="0.2">
      <c r="A7" s="11"/>
      <c r="B7" s="12" t="s">
        <v>505</v>
      </c>
      <c r="C7" s="13" t="s">
        <v>514</v>
      </c>
      <c r="D7" s="14" t="s">
        <v>3</v>
      </c>
      <c r="E7" s="15">
        <v>45762</v>
      </c>
      <c r="F7" s="11"/>
      <c r="H7" s="36"/>
      <c r="I7" s="36"/>
      <c r="J7" s="36"/>
    </row>
    <row r="8" spans="1:10" x14ac:dyDescent="0.2">
      <c r="A8" s="11"/>
      <c r="B8" s="12" t="s">
        <v>506</v>
      </c>
      <c r="C8" s="13" t="s">
        <v>516</v>
      </c>
      <c r="D8" s="14">
        <v>2012</v>
      </c>
      <c r="E8" s="18" t="s">
        <v>4</v>
      </c>
      <c r="F8" s="11"/>
      <c r="H8" s="36"/>
      <c r="I8" s="36"/>
      <c r="J8" s="36"/>
    </row>
    <row r="9" spans="1:10" x14ac:dyDescent="0.2">
      <c r="A9" s="11"/>
      <c r="B9" s="12" t="s">
        <v>507</v>
      </c>
      <c r="C9" s="13" t="s">
        <v>514</v>
      </c>
      <c r="D9" s="14" t="s">
        <v>5</v>
      </c>
      <c r="E9" s="15">
        <v>45693</v>
      </c>
      <c r="F9" s="11"/>
      <c r="H9" s="36"/>
      <c r="I9" s="36"/>
      <c r="J9" s="36"/>
    </row>
    <row r="10" spans="1:10" x14ac:dyDescent="0.2">
      <c r="A10" s="11"/>
      <c r="B10" s="12" t="s">
        <v>508</v>
      </c>
      <c r="C10" s="13" t="s">
        <v>516</v>
      </c>
      <c r="D10" s="14" t="s">
        <v>7</v>
      </c>
      <c r="E10" s="15">
        <v>45696</v>
      </c>
      <c r="F10" s="11"/>
    </row>
    <row r="11" spans="1:10" x14ac:dyDescent="0.2">
      <c r="A11" s="11"/>
      <c r="B11" s="12" t="s">
        <v>509</v>
      </c>
      <c r="C11" s="13" t="s">
        <v>518</v>
      </c>
      <c r="D11" s="14">
        <v>2010</v>
      </c>
      <c r="E11" s="15">
        <v>45700</v>
      </c>
      <c r="F11" s="11"/>
    </row>
    <row r="12" spans="1:10" x14ac:dyDescent="0.2">
      <c r="A12" s="11"/>
      <c r="B12" s="12" t="s">
        <v>510</v>
      </c>
      <c r="C12" s="13" t="s">
        <v>519</v>
      </c>
      <c r="D12" s="14">
        <v>1200.5</v>
      </c>
      <c r="E12" s="15">
        <v>45721</v>
      </c>
      <c r="F12" s="11"/>
    </row>
    <row r="13" spans="1:10" x14ac:dyDescent="0.2">
      <c r="A13" s="11"/>
      <c r="B13" s="12" t="s">
        <v>510</v>
      </c>
      <c r="C13" s="13" t="s">
        <v>517</v>
      </c>
      <c r="D13" s="14">
        <v>0</v>
      </c>
      <c r="E13" s="15">
        <v>45724</v>
      </c>
      <c r="F13" s="11"/>
    </row>
    <row r="14" spans="1:10" ht="17" thickBot="1" x14ac:dyDescent="0.25">
      <c r="A14" s="11"/>
      <c r="B14" s="19" t="s">
        <v>511</v>
      </c>
      <c r="C14" s="20" t="s">
        <v>519</v>
      </c>
      <c r="D14" s="21">
        <v>1290</v>
      </c>
      <c r="E14" s="22">
        <v>45726</v>
      </c>
      <c r="F14" s="11"/>
    </row>
    <row r="15" spans="1:10" x14ac:dyDescent="0.2">
      <c r="A15" s="11"/>
      <c r="B15" s="11"/>
      <c r="C15" s="11"/>
      <c r="D15" s="11"/>
      <c r="E15" s="11"/>
      <c r="F15" s="11"/>
    </row>
  </sheetData>
  <mergeCells count="1">
    <mergeCell ref="H4:J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656A-9B23-0041-B618-972B330E1295}">
  <dimension ref="C2:G28"/>
  <sheetViews>
    <sheetView zoomScale="158" zoomScaleNormal="158" workbookViewId="0">
      <selection activeCell="C29" sqref="C29"/>
    </sheetView>
  </sheetViews>
  <sheetFormatPr baseColWidth="10" defaultRowHeight="16" x14ac:dyDescent="0.2"/>
  <sheetData>
    <row r="2" spans="3:7" ht="17" thickBot="1" x14ac:dyDescent="0.25"/>
    <row r="3" spans="3:7" x14ac:dyDescent="0.2">
      <c r="C3" s="27" t="s">
        <v>524</v>
      </c>
      <c r="D3" s="28" t="s">
        <v>520</v>
      </c>
      <c r="E3" s="28" t="s">
        <v>521</v>
      </c>
      <c r="F3" s="28" t="s">
        <v>522</v>
      </c>
      <c r="G3" s="29" t="s">
        <v>523</v>
      </c>
    </row>
    <row r="4" spans="3:7" x14ac:dyDescent="0.2">
      <c r="C4" s="30">
        <v>2010</v>
      </c>
      <c r="D4" s="26"/>
      <c r="E4" s="26"/>
      <c r="F4" s="26"/>
      <c r="G4" s="31"/>
    </row>
    <row r="5" spans="3:7" x14ac:dyDescent="0.2">
      <c r="C5" s="30">
        <v>2011</v>
      </c>
      <c r="D5" s="26"/>
      <c r="E5" s="26"/>
      <c r="F5" s="26"/>
      <c r="G5" s="31"/>
    </row>
    <row r="6" spans="3:7" x14ac:dyDescent="0.2">
      <c r="C6" s="30">
        <v>2012</v>
      </c>
      <c r="D6" s="26"/>
      <c r="E6" s="26"/>
      <c r="F6" s="26"/>
      <c r="G6" s="31"/>
    </row>
    <row r="7" spans="3:7" x14ac:dyDescent="0.2">
      <c r="C7" s="30">
        <v>2013</v>
      </c>
      <c r="D7" s="26"/>
      <c r="E7" s="26"/>
      <c r="F7" s="26"/>
      <c r="G7" s="31"/>
    </row>
    <row r="8" spans="3:7" x14ac:dyDescent="0.2">
      <c r="C8" s="30">
        <v>2014</v>
      </c>
      <c r="D8" s="26"/>
      <c r="E8" s="26"/>
      <c r="F8" s="26"/>
      <c r="G8" s="31"/>
    </row>
    <row r="9" spans="3:7" x14ac:dyDescent="0.2">
      <c r="C9" s="30">
        <v>2015</v>
      </c>
      <c r="D9" s="26"/>
      <c r="E9" s="26"/>
      <c r="F9" s="26"/>
      <c r="G9" s="31"/>
    </row>
    <row r="10" spans="3:7" x14ac:dyDescent="0.2">
      <c r="C10" s="30">
        <v>2016</v>
      </c>
      <c r="D10" s="26"/>
      <c r="E10" s="26"/>
      <c r="F10" s="26"/>
      <c r="G10" s="31"/>
    </row>
    <row r="11" spans="3:7" x14ac:dyDescent="0.2">
      <c r="C11" s="30">
        <v>2017</v>
      </c>
      <c r="D11" s="26"/>
      <c r="E11" s="26"/>
      <c r="F11" s="26"/>
      <c r="G11" s="31"/>
    </row>
    <row r="12" spans="3:7" x14ac:dyDescent="0.2">
      <c r="C12" s="30">
        <v>2018</v>
      </c>
      <c r="D12" s="26"/>
      <c r="E12" s="26"/>
      <c r="F12" s="26"/>
      <c r="G12" s="31"/>
    </row>
    <row r="13" spans="3:7" x14ac:dyDescent="0.2">
      <c r="C13" s="30">
        <v>2019</v>
      </c>
      <c r="D13" s="26"/>
      <c r="E13" s="26"/>
      <c r="F13" s="26"/>
      <c r="G13" s="31"/>
    </row>
    <row r="14" spans="3:7" x14ac:dyDescent="0.2">
      <c r="C14" s="30">
        <v>2020</v>
      </c>
      <c r="D14" s="26"/>
      <c r="E14" s="26"/>
      <c r="F14" s="26"/>
      <c r="G14" s="31"/>
    </row>
    <row r="15" spans="3:7" x14ac:dyDescent="0.2">
      <c r="C15" s="30">
        <v>2021</v>
      </c>
      <c r="D15" s="26"/>
      <c r="E15" s="26"/>
      <c r="F15" s="26"/>
      <c r="G15" s="31"/>
    </row>
    <row r="16" spans="3:7" x14ac:dyDescent="0.2">
      <c r="C16" s="30">
        <v>2022</v>
      </c>
      <c r="D16" s="26"/>
      <c r="E16" s="26"/>
      <c r="F16" s="26"/>
      <c r="G16" s="31"/>
    </row>
    <row r="17" spans="3:7" x14ac:dyDescent="0.2">
      <c r="C17" s="30">
        <v>2023</v>
      </c>
      <c r="D17" s="26"/>
      <c r="E17" s="26"/>
      <c r="F17" s="26"/>
      <c r="G17" s="31"/>
    </row>
    <row r="18" spans="3:7" x14ac:dyDescent="0.2">
      <c r="C18" s="30">
        <v>2024</v>
      </c>
      <c r="D18" s="26"/>
      <c r="E18" s="26"/>
      <c r="F18" s="26"/>
      <c r="G18" s="31"/>
    </row>
    <row r="19" spans="3:7" ht="17" thickBot="1" x14ac:dyDescent="0.25">
      <c r="C19" s="32">
        <v>2025</v>
      </c>
      <c r="D19" s="33"/>
      <c r="E19" s="33"/>
      <c r="F19" s="33"/>
      <c r="G19" s="34"/>
    </row>
    <row r="22" spans="3:7" x14ac:dyDescent="0.2">
      <c r="C22" s="37" t="s">
        <v>552</v>
      </c>
      <c r="D22" s="37"/>
      <c r="E22" s="37"/>
      <c r="F22" s="37"/>
      <c r="G22" s="37"/>
    </row>
    <row r="23" spans="3:7" x14ac:dyDescent="0.2">
      <c r="C23" s="37"/>
      <c r="D23" s="37"/>
      <c r="E23" s="37"/>
      <c r="F23" s="37"/>
      <c r="G23" s="37"/>
    </row>
    <row r="24" spans="3:7" x14ac:dyDescent="0.2">
      <c r="C24" s="37"/>
      <c r="D24" s="37"/>
      <c r="E24" s="37"/>
      <c r="F24" s="37"/>
      <c r="G24" s="37"/>
    </row>
    <row r="25" spans="3:7" x14ac:dyDescent="0.2">
      <c r="C25" s="37"/>
      <c r="D25" s="37"/>
      <c r="E25" s="37"/>
      <c r="F25" s="37"/>
      <c r="G25" s="37"/>
    </row>
    <row r="26" spans="3:7" x14ac:dyDescent="0.2">
      <c r="C26" s="37"/>
      <c r="D26" s="37"/>
      <c r="E26" s="37"/>
      <c r="F26" s="37"/>
      <c r="G26" s="37"/>
    </row>
    <row r="27" spans="3:7" x14ac:dyDescent="0.2">
      <c r="C27" s="37"/>
      <c r="D27" s="37"/>
      <c r="E27" s="37"/>
      <c r="F27" s="37"/>
      <c r="G27" s="37"/>
    </row>
    <row r="28" spans="3:7" x14ac:dyDescent="0.2">
      <c r="C28" s="37"/>
      <c r="D28" s="37"/>
      <c r="E28" s="37"/>
      <c r="F28" s="37"/>
      <c r="G28" s="37"/>
    </row>
  </sheetData>
  <mergeCells count="1">
    <mergeCell ref="C22:G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67C17-D64C-9D4D-B0B5-03AF1AB8CDCB}">
  <dimension ref="B2:J22"/>
  <sheetViews>
    <sheetView tabSelected="1" topLeftCell="A2" zoomScale="200" zoomScaleNormal="200" workbookViewId="0">
      <selection activeCell="J17" sqref="J17"/>
    </sheetView>
  </sheetViews>
  <sheetFormatPr baseColWidth="10" defaultRowHeight="16" x14ac:dyDescent="0.2"/>
  <cols>
    <col min="7" max="8" width="11" customWidth="1"/>
    <col min="9" max="9" width="9.33203125" customWidth="1"/>
    <col min="11" max="11" width="8.33203125" customWidth="1"/>
  </cols>
  <sheetData>
    <row r="2" spans="2:10" x14ac:dyDescent="0.2">
      <c r="B2" s="1" t="s">
        <v>532</v>
      </c>
      <c r="C2" s="1" t="s">
        <v>531</v>
      </c>
      <c r="D2" s="1" t="s">
        <v>530</v>
      </c>
      <c r="E2" s="1" t="s">
        <v>529</v>
      </c>
      <c r="F2" s="1" t="s">
        <v>528</v>
      </c>
      <c r="G2" s="1" t="s">
        <v>526</v>
      </c>
      <c r="H2" s="1" t="s">
        <v>491</v>
      </c>
      <c r="J2" s="2" t="s">
        <v>533</v>
      </c>
    </row>
    <row r="3" spans="2:10" x14ac:dyDescent="0.2">
      <c r="B3" t="s">
        <v>533</v>
      </c>
      <c r="C3" t="s">
        <v>544</v>
      </c>
      <c r="D3" t="s">
        <v>543</v>
      </c>
      <c r="E3" s="3">
        <v>490</v>
      </c>
      <c r="F3" s="3">
        <v>2940</v>
      </c>
      <c r="G3" t="s">
        <v>527</v>
      </c>
      <c r="H3" t="e" cm="1">
        <f t="array" ref="H3:H22">IF(F3:F22&gt;2000,High,Low)</f>
        <v>#NAME?</v>
      </c>
      <c r="J3" s="3" t="e">
        <f>SUMIFS(F3:F23,B3:B22,J2)</f>
        <v>#VALUE!</v>
      </c>
    </row>
    <row r="4" spans="2:10" x14ac:dyDescent="0.2">
      <c r="B4" t="s">
        <v>533</v>
      </c>
      <c r="C4" t="s">
        <v>544</v>
      </c>
      <c r="D4" t="s">
        <v>546</v>
      </c>
      <c r="E4" s="3">
        <v>481</v>
      </c>
      <c r="F4" s="3">
        <v>1443</v>
      </c>
      <c r="G4" t="s">
        <v>21</v>
      </c>
      <c r="H4" t="e">
        <v>#NAME?</v>
      </c>
    </row>
    <row r="5" spans="2:10" x14ac:dyDescent="0.2">
      <c r="B5" t="s">
        <v>534</v>
      </c>
      <c r="C5" t="s">
        <v>545</v>
      </c>
      <c r="D5" t="s">
        <v>551</v>
      </c>
      <c r="E5" s="3">
        <v>344</v>
      </c>
      <c r="F5" s="3">
        <v>2408</v>
      </c>
      <c r="G5" t="s">
        <v>527</v>
      </c>
      <c r="H5" t="e">
        <v>#NAME?</v>
      </c>
    </row>
    <row r="6" spans="2:10" x14ac:dyDescent="0.2">
      <c r="B6" t="s">
        <v>535</v>
      </c>
      <c r="C6" t="s">
        <v>544</v>
      </c>
      <c r="D6" t="s">
        <v>17</v>
      </c>
      <c r="E6" s="3">
        <v>39</v>
      </c>
      <c r="F6" s="3">
        <v>351</v>
      </c>
      <c r="G6" t="s">
        <v>527</v>
      </c>
      <c r="H6" t="e">
        <v>#NAME?</v>
      </c>
    </row>
    <row r="7" spans="2:10" x14ac:dyDescent="0.2">
      <c r="B7" t="s">
        <v>536</v>
      </c>
      <c r="C7" t="s">
        <v>544</v>
      </c>
      <c r="D7" t="s">
        <v>549</v>
      </c>
      <c r="E7" s="3">
        <v>256</v>
      </c>
      <c r="F7" s="3">
        <v>2048</v>
      </c>
      <c r="G7" t="s">
        <v>21</v>
      </c>
      <c r="H7" t="e">
        <v>#NAME?</v>
      </c>
    </row>
    <row r="8" spans="2:10" x14ac:dyDescent="0.2">
      <c r="B8" t="s">
        <v>537</v>
      </c>
      <c r="C8" t="s">
        <v>545</v>
      </c>
      <c r="D8" t="s">
        <v>551</v>
      </c>
      <c r="E8" s="3">
        <v>115</v>
      </c>
      <c r="F8" s="3">
        <v>690</v>
      </c>
      <c r="G8" t="s">
        <v>21</v>
      </c>
      <c r="H8" t="e">
        <v>#NAME?</v>
      </c>
    </row>
    <row r="9" spans="2:10" x14ac:dyDescent="0.2">
      <c r="B9" t="s">
        <v>535</v>
      </c>
      <c r="C9" t="s">
        <v>544</v>
      </c>
      <c r="D9" t="s">
        <v>550</v>
      </c>
      <c r="E9" s="3">
        <v>60</v>
      </c>
      <c r="F9" s="3">
        <v>480</v>
      </c>
      <c r="G9" t="s">
        <v>21</v>
      </c>
      <c r="H9" t="e">
        <v>#NAME?</v>
      </c>
    </row>
    <row r="10" spans="2:10" x14ac:dyDescent="0.2">
      <c r="B10" t="s">
        <v>538</v>
      </c>
      <c r="C10" t="s">
        <v>544</v>
      </c>
      <c r="D10" t="s">
        <v>547</v>
      </c>
      <c r="E10" s="3">
        <v>90</v>
      </c>
      <c r="F10" s="3">
        <v>450</v>
      </c>
      <c r="G10" t="s">
        <v>21</v>
      </c>
      <c r="H10" t="e">
        <v>#NAME?</v>
      </c>
    </row>
    <row r="11" spans="2:10" x14ac:dyDescent="0.2">
      <c r="B11" t="s">
        <v>536</v>
      </c>
      <c r="C11" t="s">
        <v>544</v>
      </c>
      <c r="D11" t="s">
        <v>550</v>
      </c>
      <c r="E11" s="3">
        <v>142</v>
      </c>
      <c r="F11" s="3">
        <v>1136</v>
      </c>
      <c r="G11" t="s">
        <v>527</v>
      </c>
      <c r="H11" t="e">
        <v>#NAME?</v>
      </c>
    </row>
    <row r="12" spans="2:10" x14ac:dyDescent="0.2">
      <c r="B12" t="s">
        <v>534</v>
      </c>
      <c r="C12" t="s">
        <v>545</v>
      </c>
      <c r="D12" t="s">
        <v>547</v>
      </c>
      <c r="E12" s="3">
        <v>294</v>
      </c>
      <c r="F12" s="3">
        <v>1176</v>
      </c>
      <c r="G12" t="s">
        <v>21</v>
      </c>
      <c r="H12" t="e">
        <v>#NAME?</v>
      </c>
    </row>
    <row r="13" spans="2:10" x14ac:dyDescent="0.2">
      <c r="B13" t="s">
        <v>537</v>
      </c>
      <c r="C13" t="s">
        <v>545</v>
      </c>
      <c r="D13" t="s">
        <v>543</v>
      </c>
      <c r="E13" s="3">
        <v>397</v>
      </c>
      <c r="F13" s="3">
        <v>3176</v>
      </c>
      <c r="G13" t="s">
        <v>21</v>
      </c>
      <c r="H13" t="e">
        <v>#NAME?</v>
      </c>
    </row>
    <row r="14" spans="2:10" x14ac:dyDescent="0.2">
      <c r="B14" t="s">
        <v>539</v>
      </c>
      <c r="C14" t="s">
        <v>545</v>
      </c>
      <c r="D14" t="s">
        <v>546</v>
      </c>
      <c r="E14" s="3">
        <v>147</v>
      </c>
      <c r="F14" s="3">
        <v>294</v>
      </c>
      <c r="G14" t="s">
        <v>527</v>
      </c>
      <c r="H14" t="e">
        <v>#NAME?</v>
      </c>
    </row>
    <row r="15" spans="2:10" x14ac:dyDescent="0.2">
      <c r="B15" t="s">
        <v>540</v>
      </c>
      <c r="C15" t="s">
        <v>545</v>
      </c>
      <c r="D15" t="s">
        <v>548</v>
      </c>
      <c r="E15" s="3">
        <v>193</v>
      </c>
      <c r="F15" s="3">
        <v>965</v>
      </c>
      <c r="G15" t="s">
        <v>21</v>
      </c>
      <c r="H15" t="e">
        <v>#NAME?</v>
      </c>
    </row>
    <row r="16" spans="2:10" x14ac:dyDescent="0.2">
      <c r="B16" t="s">
        <v>537</v>
      </c>
      <c r="C16" t="s">
        <v>545</v>
      </c>
      <c r="D16" t="s">
        <v>549</v>
      </c>
      <c r="E16" s="3">
        <v>410</v>
      </c>
      <c r="F16" s="3">
        <v>3690</v>
      </c>
      <c r="G16" t="s">
        <v>527</v>
      </c>
      <c r="H16" t="e">
        <v>#NAME?</v>
      </c>
    </row>
    <row r="17" spans="2:8" x14ac:dyDescent="0.2">
      <c r="B17" t="s">
        <v>541</v>
      </c>
      <c r="C17" t="s">
        <v>544</v>
      </c>
      <c r="D17" t="s">
        <v>546</v>
      </c>
      <c r="E17" s="3">
        <v>339</v>
      </c>
      <c r="F17" s="3">
        <v>1356</v>
      </c>
      <c r="G17" t="s">
        <v>527</v>
      </c>
      <c r="H17" t="e">
        <v>#NAME?</v>
      </c>
    </row>
    <row r="18" spans="2:8" x14ac:dyDescent="0.2">
      <c r="B18" t="s">
        <v>540</v>
      </c>
      <c r="C18" t="s">
        <v>545</v>
      </c>
      <c r="D18" t="s">
        <v>550</v>
      </c>
      <c r="E18" s="3">
        <v>282</v>
      </c>
      <c r="F18" s="3">
        <v>1692</v>
      </c>
      <c r="G18" t="s">
        <v>527</v>
      </c>
      <c r="H18" t="e">
        <v>#NAME?</v>
      </c>
    </row>
    <row r="19" spans="2:8" x14ac:dyDescent="0.2">
      <c r="B19" t="s">
        <v>534</v>
      </c>
      <c r="C19" t="s">
        <v>545</v>
      </c>
      <c r="D19" t="s">
        <v>543</v>
      </c>
      <c r="E19" s="3">
        <v>349</v>
      </c>
      <c r="F19" s="3">
        <v>349</v>
      </c>
      <c r="G19" t="s">
        <v>527</v>
      </c>
      <c r="H19" t="e">
        <v>#NAME?</v>
      </c>
    </row>
    <row r="20" spans="2:8" x14ac:dyDescent="0.2">
      <c r="B20" t="s">
        <v>537</v>
      </c>
      <c r="C20" t="s">
        <v>545</v>
      </c>
      <c r="D20" t="s">
        <v>550</v>
      </c>
      <c r="E20" s="3">
        <v>481</v>
      </c>
      <c r="F20" s="3">
        <v>4329</v>
      </c>
      <c r="G20" t="s">
        <v>21</v>
      </c>
      <c r="H20" t="e">
        <v>#NAME?</v>
      </c>
    </row>
    <row r="21" spans="2:8" x14ac:dyDescent="0.2">
      <c r="B21" t="s">
        <v>542</v>
      </c>
      <c r="C21" t="s">
        <v>544</v>
      </c>
      <c r="D21" t="s">
        <v>547</v>
      </c>
      <c r="E21" s="3">
        <v>78</v>
      </c>
      <c r="F21" s="3">
        <v>78</v>
      </c>
      <c r="G21" t="s">
        <v>21</v>
      </c>
      <c r="H21" t="e">
        <v>#NAME?</v>
      </c>
    </row>
    <row r="22" spans="2:8" x14ac:dyDescent="0.2">
      <c r="B22" t="s">
        <v>539</v>
      </c>
      <c r="C22" t="s">
        <v>545</v>
      </c>
      <c r="D22" t="s">
        <v>543</v>
      </c>
      <c r="E22" s="3">
        <v>43</v>
      </c>
      <c r="F22" s="3">
        <v>215</v>
      </c>
      <c r="G22" t="s">
        <v>527</v>
      </c>
      <c r="H22" t="e">
        <v>#NAME?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D6257-F1DE-2F48-8A26-0FCF2A775144}">
  <dimension ref="B2:B3"/>
  <sheetViews>
    <sheetView workbookViewId="0">
      <selection activeCell="B3" sqref="B3"/>
    </sheetView>
  </sheetViews>
  <sheetFormatPr baseColWidth="10" defaultRowHeight="16" x14ac:dyDescent="0.2"/>
  <sheetData>
    <row r="2" spans="2:2" x14ac:dyDescent="0.2">
      <c r="B2" s="9" t="s">
        <v>493</v>
      </c>
    </row>
    <row r="3" spans="2:2" x14ac:dyDescent="0.2">
      <c r="B3" t="s">
        <v>492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FA909-40FA-3046-BFE5-47D58529BCE8}">
  <dimension ref="B2:B6"/>
  <sheetViews>
    <sheetView workbookViewId="0">
      <selection activeCell="B2" sqref="B2"/>
    </sheetView>
  </sheetViews>
  <sheetFormatPr baseColWidth="10" defaultRowHeight="16" x14ac:dyDescent="0.2"/>
  <sheetData>
    <row r="2" spans="2:2" x14ac:dyDescent="0.2">
      <c r="B2" s="9" t="s">
        <v>495</v>
      </c>
    </row>
    <row r="3" spans="2:2" x14ac:dyDescent="0.2">
      <c r="B3" s="10" t="s">
        <v>494</v>
      </c>
    </row>
    <row r="5" spans="2:2" x14ac:dyDescent="0.2">
      <c r="B5" s="9" t="s">
        <v>493</v>
      </c>
    </row>
    <row r="6" spans="2:2" x14ac:dyDescent="0.2">
      <c r="B6" t="s">
        <v>496</v>
      </c>
    </row>
  </sheetData>
  <hyperlinks>
    <hyperlink ref="B3" r:id="rId1" xr:uid="{6EB40CC3-DDD3-3445-83EA-95658427F49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6627-EEEB-CD42-B7A7-F2A94A0DDB31}">
  <dimension ref="B2:I22"/>
  <sheetViews>
    <sheetView zoomScale="200" zoomScaleNormal="200" workbookViewId="0">
      <selection activeCell="I3" sqref="I3"/>
    </sheetView>
  </sheetViews>
  <sheetFormatPr baseColWidth="10" defaultRowHeight="16" x14ac:dyDescent="0.2"/>
  <sheetData>
    <row r="2" spans="2:9" x14ac:dyDescent="0.2"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  <c r="I2" s="9" t="s">
        <v>497</v>
      </c>
    </row>
    <row r="3" spans="2:9" x14ac:dyDescent="0.2">
      <c r="B3" t="s">
        <v>15</v>
      </c>
      <c r="C3" t="s">
        <v>16</v>
      </c>
      <c r="D3" t="s">
        <v>17</v>
      </c>
      <c r="E3" s="3">
        <v>490</v>
      </c>
      <c r="F3" s="3">
        <v>2940</v>
      </c>
      <c r="G3" t="s">
        <v>18</v>
      </c>
      <c r="I3" t="s">
        <v>36</v>
      </c>
    </row>
    <row r="4" spans="2:9" x14ac:dyDescent="0.2">
      <c r="B4" t="s">
        <v>15</v>
      </c>
      <c r="C4" t="s">
        <v>19</v>
      </c>
      <c r="D4" t="s">
        <v>20</v>
      </c>
      <c r="E4" s="3">
        <v>481</v>
      </c>
      <c r="F4" s="3">
        <v>1443</v>
      </c>
      <c r="G4" t="s">
        <v>21</v>
      </c>
    </row>
    <row r="5" spans="2:9" x14ac:dyDescent="0.2">
      <c r="B5" t="s">
        <v>22</v>
      </c>
      <c r="C5" t="s">
        <v>23</v>
      </c>
      <c r="D5" t="s">
        <v>24</v>
      </c>
      <c r="E5" s="3">
        <v>344</v>
      </c>
      <c r="F5" s="3">
        <v>2408</v>
      </c>
      <c r="G5" t="s">
        <v>18</v>
      </c>
    </row>
    <row r="6" spans="2:9" x14ac:dyDescent="0.2">
      <c r="B6" t="s">
        <v>25</v>
      </c>
      <c r="C6" t="s">
        <v>16</v>
      </c>
      <c r="D6" t="s">
        <v>17</v>
      </c>
      <c r="E6" s="3">
        <v>39</v>
      </c>
      <c r="F6" s="3">
        <v>351</v>
      </c>
      <c r="G6" t="s">
        <v>6</v>
      </c>
    </row>
    <row r="7" spans="2:9" x14ac:dyDescent="0.2">
      <c r="B7" t="s">
        <v>26</v>
      </c>
      <c r="C7" t="s">
        <v>23</v>
      </c>
      <c r="D7" t="s">
        <v>27</v>
      </c>
      <c r="E7" s="3">
        <v>256</v>
      </c>
      <c r="F7" s="3">
        <v>2048</v>
      </c>
      <c r="G7" t="s">
        <v>21</v>
      </c>
    </row>
    <row r="8" spans="2:9" x14ac:dyDescent="0.2">
      <c r="B8" t="s">
        <v>28</v>
      </c>
      <c r="C8" t="s">
        <v>29</v>
      </c>
      <c r="D8" t="s">
        <v>27</v>
      </c>
      <c r="E8" s="3">
        <v>115</v>
      </c>
      <c r="F8" s="3">
        <v>690</v>
      </c>
      <c r="G8" t="s">
        <v>21</v>
      </c>
    </row>
    <row r="9" spans="2:9" x14ac:dyDescent="0.2">
      <c r="B9" t="s">
        <v>25</v>
      </c>
      <c r="C9" t="s">
        <v>23</v>
      </c>
      <c r="D9" t="s">
        <v>30</v>
      </c>
      <c r="E9" s="3">
        <v>60</v>
      </c>
      <c r="F9" s="3">
        <v>480</v>
      </c>
      <c r="G9" t="s">
        <v>21</v>
      </c>
    </row>
    <row r="10" spans="2:9" x14ac:dyDescent="0.2">
      <c r="B10" t="s">
        <v>31</v>
      </c>
      <c r="C10" t="s">
        <v>29</v>
      </c>
      <c r="D10" t="s">
        <v>24</v>
      </c>
      <c r="E10" s="3">
        <v>90</v>
      </c>
      <c r="F10" s="3">
        <v>450</v>
      </c>
      <c r="G10" t="s">
        <v>21</v>
      </c>
    </row>
    <row r="11" spans="2:9" x14ac:dyDescent="0.2">
      <c r="B11" t="s">
        <v>22</v>
      </c>
      <c r="C11" t="s">
        <v>23</v>
      </c>
      <c r="D11" t="s">
        <v>24</v>
      </c>
      <c r="E11" s="3">
        <v>142</v>
      </c>
      <c r="F11" s="3">
        <v>1136</v>
      </c>
      <c r="G11" t="s">
        <v>6</v>
      </c>
    </row>
    <row r="12" spans="2:9" x14ac:dyDescent="0.2">
      <c r="B12" t="s">
        <v>32</v>
      </c>
      <c r="C12" t="s">
        <v>16</v>
      </c>
      <c r="D12" t="s">
        <v>30</v>
      </c>
      <c r="E12" s="3">
        <v>294</v>
      </c>
      <c r="F12" s="3">
        <v>1176</v>
      </c>
      <c r="G12" t="s">
        <v>21</v>
      </c>
    </row>
    <row r="13" spans="2:9" x14ac:dyDescent="0.2">
      <c r="B13" t="s">
        <v>28</v>
      </c>
      <c r="C13" t="s">
        <v>16</v>
      </c>
      <c r="D13" t="s">
        <v>17</v>
      </c>
      <c r="E13" s="3">
        <v>397</v>
      </c>
      <c r="F13" s="3">
        <v>3176</v>
      </c>
      <c r="G13" t="s">
        <v>21</v>
      </c>
    </row>
    <row r="14" spans="2:9" x14ac:dyDescent="0.2">
      <c r="B14" t="s">
        <v>33</v>
      </c>
      <c r="C14" t="s">
        <v>29</v>
      </c>
      <c r="D14" t="s">
        <v>24</v>
      </c>
      <c r="E14" s="3">
        <v>147</v>
      </c>
      <c r="F14" s="3">
        <v>294</v>
      </c>
      <c r="G14" t="s">
        <v>18</v>
      </c>
    </row>
    <row r="15" spans="2:9" x14ac:dyDescent="0.2">
      <c r="B15" t="s">
        <v>32</v>
      </c>
      <c r="C15" t="s">
        <v>19</v>
      </c>
      <c r="D15" t="s">
        <v>27</v>
      </c>
      <c r="E15" s="3">
        <v>193</v>
      </c>
      <c r="F15" s="3">
        <v>965</v>
      </c>
      <c r="G15" t="s">
        <v>21</v>
      </c>
    </row>
    <row r="16" spans="2:9" x14ac:dyDescent="0.2">
      <c r="B16" t="s">
        <v>28</v>
      </c>
      <c r="C16" t="s">
        <v>29</v>
      </c>
      <c r="D16" t="s">
        <v>27</v>
      </c>
      <c r="E16" s="3">
        <v>410</v>
      </c>
      <c r="F16" s="3">
        <v>3690</v>
      </c>
      <c r="G16" t="s">
        <v>6</v>
      </c>
    </row>
    <row r="17" spans="2:7" x14ac:dyDescent="0.2">
      <c r="B17" t="s">
        <v>34</v>
      </c>
      <c r="C17" t="s">
        <v>29</v>
      </c>
      <c r="D17" t="s">
        <v>20</v>
      </c>
      <c r="E17" s="3">
        <v>339</v>
      </c>
      <c r="F17" s="3">
        <v>1356</v>
      </c>
      <c r="G17" t="s">
        <v>6</v>
      </c>
    </row>
    <row r="18" spans="2:7" x14ac:dyDescent="0.2">
      <c r="B18" t="s">
        <v>32</v>
      </c>
      <c r="C18" t="s">
        <v>23</v>
      </c>
      <c r="D18" t="s">
        <v>24</v>
      </c>
      <c r="E18" s="3">
        <v>282</v>
      </c>
      <c r="F18" s="3">
        <v>1692</v>
      </c>
      <c r="G18" t="s">
        <v>6</v>
      </c>
    </row>
    <row r="19" spans="2:7" x14ac:dyDescent="0.2">
      <c r="B19" t="s">
        <v>22</v>
      </c>
      <c r="C19" t="s">
        <v>23</v>
      </c>
      <c r="D19" t="s">
        <v>17</v>
      </c>
      <c r="E19" s="3">
        <v>349</v>
      </c>
      <c r="F19" s="3">
        <v>349</v>
      </c>
      <c r="G19" t="s">
        <v>6</v>
      </c>
    </row>
    <row r="20" spans="2:7" x14ac:dyDescent="0.2">
      <c r="B20" t="s">
        <v>28</v>
      </c>
      <c r="C20" t="s">
        <v>29</v>
      </c>
      <c r="D20" t="s">
        <v>30</v>
      </c>
      <c r="E20" s="3">
        <v>481</v>
      </c>
      <c r="F20" s="3">
        <v>4329</v>
      </c>
      <c r="G20" t="s">
        <v>21</v>
      </c>
    </row>
    <row r="21" spans="2:7" x14ac:dyDescent="0.2">
      <c r="B21" t="s">
        <v>35</v>
      </c>
      <c r="C21" t="s">
        <v>16</v>
      </c>
      <c r="D21" t="s">
        <v>30</v>
      </c>
      <c r="E21" s="3">
        <v>78</v>
      </c>
      <c r="F21" s="3">
        <v>78</v>
      </c>
      <c r="G21" t="s">
        <v>21</v>
      </c>
    </row>
    <row r="22" spans="2:7" x14ac:dyDescent="0.2">
      <c r="B22" t="s">
        <v>33</v>
      </c>
      <c r="C22" t="s">
        <v>23</v>
      </c>
      <c r="D22" t="s">
        <v>17</v>
      </c>
      <c r="E22" s="3">
        <v>43</v>
      </c>
      <c r="F22" s="3">
        <v>215</v>
      </c>
      <c r="G22" t="s">
        <v>6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C2F73-C5C0-3441-84BB-E0A6009C70A8}">
  <dimension ref="B2:O99"/>
  <sheetViews>
    <sheetView workbookViewId="0">
      <selection activeCell="J21" sqref="J21"/>
    </sheetView>
  </sheetViews>
  <sheetFormatPr baseColWidth="10" defaultRowHeight="16" x14ac:dyDescent="0.2"/>
  <sheetData>
    <row r="2" spans="2:15" x14ac:dyDescent="0.2">
      <c r="B2" s="4" t="s">
        <v>37</v>
      </c>
      <c r="C2" s="5" t="s">
        <v>38</v>
      </c>
      <c r="D2" s="5" t="s">
        <v>11</v>
      </c>
      <c r="E2" s="5" t="s">
        <v>39</v>
      </c>
      <c r="F2" s="5" t="s">
        <v>10</v>
      </c>
      <c r="G2" s="5" t="s">
        <v>40</v>
      </c>
      <c r="H2" s="5" t="s">
        <v>41</v>
      </c>
      <c r="I2" s="5" t="s">
        <v>42</v>
      </c>
      <c r="J2" s="5" t="s">
        <v>43</v>
      </c>
      <c r="K2" s="5" t="s">
        <v>44</v>
      </c>
      <c r="L2" s="5" t="s">
        <v>45</v>
      </c>
      <c r="M2" s="5" t="s">
        <v>46</v>
      </c>
      <c r="N2" s="5" t="s">
        <v>47</v>
      </c>
      <c r="O2" s="5" t="s">
        <v>48</v>
      </c>
    </row>
    <row r="3" spans="2:15" x14ac:dyDescent="0.2">
      <c r="B3" s="6">
        <v>1</v>
      </c>
      <c r="C3" s="7" t="s">
        <v>49</v>
      </c>
      <c r="D3" s="7" t="s">
        <v>50</v>
      </c>
      <c r="E3" s="7" t="s">
        <v>51</v>
      </c>
      <c r="F3" s="7" t="s">
        <v>52</v>
      </c>
      <c r="G3" s="7" t="s">
        <v>53</v>
      </c>
      <c r="H3" s="7" t="s">
        <v>54</v>
      </c>
      <c r="I3" s="7" t="s">
        <v>50</v>
      </c>
      <c r="J3" s="7" t="s">
        <v>55</v>
      </c>
      <c r="K3" s="7" t="s">
        <v>56</v>
      </c>
      <c r="L3" s="7" t="s">
        <v>57</v>
      </c>
      <c r="M3" s="7" t="s">
        <v>58</v>
      </c>
      <c r="N3" s="8">
        <v>211000</v>
      </c>
      <c r="O3" s="7">
        <v>74</v>
      </c>
    </row>
    <row r="4" spans="2:15" x14ac:dyDescent="0.2">
      <c r="B4" s="6">
        <v>2</v>
      </c>
      <c r="C4" s="7" t="s">
        <v>59</v>
      </c>
      <c r="D4" s="7" t="s">
        <v>60</v>
      </c>
      <c r="E4" s="7" t="s">
        <v>61</v>
      </c>
      <c r="F4" s="7" t="s">
        <v>62</v>
      </c>
      <c r="G4" s="7" t="s">
        <v>63</v>
      </c>
      <c r="H4" s="7" t="s">
        <v>64</v>
      </c>
      <c r="I4" s="7" t="s">
        <v>60</v>
      </c>
      <c r="J4" s="7" t="s">
        <v>65</v>
      </c>
      <c r="K4" s="7" t="s">
        <v>56</v>
      </c>
      <c r="L4" s="7" t="s">
        <v>66</v>
      </c>
      <c r="M4" s="7" t="s">
        <v>67</v>
      </c>
      <c r="N4" s="8">
        <v>180000</v>
      </c>
      <c r="O4" s="7">
        <v>51</v>
      </c>
    </row>
    <row r="5" spans="2:15" x14ac:dyDescent="0.2">
      <c r="B5" s="6">
        <v>3</v>
      </c>
      <c r="C5" s="7" t="s">
        <v>68</v>
      </c>
      <c r="D5" s="7" t="s">
        <v>69</v>
      </c>
      <c r="E5" s="7" t="s">
        <v>61</v>
      </c>
      <c r="F5" s="7" t="s">
        <v>62</v>
      </c>
      <c r="G5" s="7" t="s">
        <v>70</v>
      </c>
      <c r="H5" s="7" t="s">
        <v>0</v>
      </c>
      <c r="I5" s="7" t="s">
        <v>69</v>
      </c>
      <c r="J5" s="7" t="s">
        <v>65</v>
      </c>
      <c r="K5" s="7" t="s">
        <v>56</v>
      </c>
      <c r="L5" s="7" t="s">
        <v>71</v>
      </c>
      <c r="M5" s="7" t="s">
        <v>72</v>
      </c>
      <c r="N5" s="8">
        <v>114000</v>
      </c>
      <c r="O5" s="7">
        <v>59</v>
      </c>
    </row>
    <row r="6" spans="2:15" x14ac:dyDescent="0.2">
      <c r="B6" s="6">
        <v>4</v>
      </c>
      <c r="C6" s="7" t="s">
        <v>73</v>
      </c>
      <c r="D6" s="7" t="s">
        <v>69</v>
      </c>
      <c r="E6" s="7" t="s">
        <v>61</v>
      </c>
      <c r="F6" s="7" t="s">
        <v>62</v>
      </c>
      <c r="G6" s="7" t="s">
        <v>74</v>
      </c>
      <c r="H6" s="7" t="s">
        <v>75</v>
      </c>
      <c r="I6" s="7" t="s">
        <v>69</v>
      </c>
      <c r="J6" s="7" t="s">
        <v>65</v>
      </c>
      <c r="K6" s="7" t="s">
        <v>56</v>
      </c>
      <c r="L6" s="7" t="s">
        <v>76</v>
      </c>
      <c r="M6" s="7" t="s">
        <v>77</v>
      </c>
      <c r="N6" s="8">
        <v>107000</v>
      </c>
      <c r="O6" s="7">
        <v>78</v>
      </c>
    </row>
    <row r="7" spans="2:15" x14ac:dyDescent="0.2">
      <c r="B7" s="6">
        <v>5</v>
      </c>
      <c r="C7" s="7" t="s">
        <v>78</v>
      </c>
      <c r="D7" s="7" t="s">
        <v>79</v>
      </c>
      <c r="E7" s="7" t="s">
        <v>61</v>
      </c>
      <c r="F7" s="7" t="s">
        <v>62</v>
      </c>
      <c r="G7" s="7" t="s">
        <v>80</v>
      </c>
      <c r="H7" s="7" t="s">
        <v>81</v>
      </c>
      <c r="I7" s="7" t="s">
        <v>79</v>
      </c>
      <c r="J7" s="7" t="s">
        <v>65</v>
      </c>
      <c r="K7" s="7" t="s">
        <v>56</v>
      </c>
      <c r="L7" s="7" t="s">
        <v>82</v>
      </c>
      <c r="M7" s="7" t="s">
        <v>83</v>
      </c>
      <c r="N7" s="8">
        <v>106000</v>
      </c>
      <c r="O7" s="7">
        <v>92</v>
      </c>
    </row>
    <row r="8" spans="2:15" x14ac:dyDescent="0.2">
      <c r="B8" s="6">
        <v>6</v>
      </c>
      <c r="C8" s="7" t="s">
        <v>84</v>
      </c>
      <c r="D8" s="7" t="s">
        <v>69</v>
      </c>
      <c r="E8" s="7" t="s">
        <v>61</v>
      </c>
      <c r="F8" s="7" t="s">
        <v>62</v>
      </c>
      <c r="G8" s="7" t="s">
        <v>70</v>
      </c>
      <c r="H8" s="7" t="s">
        <v>85</v>
      </c>
      <c r="I8" s="7" t="s">
        <v>69</v>
      </c>
      <c r="J8" s="7" t="s">
        <v>65</v>
      </c>
      <c r="K8" s="7" t="s">
        <v>56</v>
      </c>
      <c r="L8" s="7" t="s">
        <v>86</v>
      </c>
      <c r="M8" s="7" t="s">
        <v>87</v>
      </c>
      <c r="N8" s="8">
        <v>104000</v>
      </c>
      <c r="O8" s="7">
        <v>67</v>
      </c>
    </row>
    <row r="9" spans="2:15" x14ac:dyDescent="0.2">
      <c r="B9" s="6">
        <v>7</v>
      </c>
      <c r="C9" s="7" t="s">
        <v>88</v>
      </c>
      <c r="D9" s="7" t="s">
        <v>89</v>
      </c>
      <c r="E9" s="7" t="s">
        <v>61</v>
      </c>
      <c r="F9" s="7" t="s">
        <v>62</v>
      </c>
      <c r="G9" s="7" t="s">
        <v>90</v>
      </c>
      <c r="H9" s="7" t="s">
        <v>91</v>
      </c>
      <c r="I9" s="7" t="s">
        <v>89</v>
      </c>
      <c r="J9" s="7" t="s">
        <v>65</v>
      </c>
      <c r="K9" s="7" t="s">
        <v>56</v>
      </c>
      <c r="L9" s="7" t="s">
        <v>92</v>
      </c>
      <c r="M9" s="7" t="s">
        <v>93</v>
      </c>
      <c r="N9" s="8">
        <v>94500</v>
      </c>
      <c r="O9" s="7">
        <v>81</v>
      </c>
    </row>
    <row r="10" spans="2:15" x14ac:dyDescent="0.2">
      <c r="B10" s="6">
        <v>8</v>
      </c>
      <c r="C10" s="7" t="s">
        <v>94</v>
      </c>
      <c r="D10" s="7" t="s">
        <v>95</v>
      </c>
      <c r="E10" s="7" t="s">
        <v>96</v>
      </c>
      <c r="F10" s="7" t="s">
        <v>62</v>
      </c>
      <c r="G10" s="7" t="s">
        <v>97</v>
      </c>
      <c r="H10" s="7" t="s">
        <v>95</v>
      </c>
      <c r="I10" s="7" t="s">
        <v>95</v>
      </c>
      <c r="J10" s="7" t="s">
        <v>65</v>
      </c>
      <c r="K10" s="7" t="s">
        <v>56</v>
      </c>
      <c r="L10" s="7" t="s">
        <v>98</v>
      </c>
      <c r="M10" s="7" t="s">
        <v>99</v>
      </c>
      <c r="N10" s="8">
        <v>93000</v>
      </c>
      <c r="O10" s="7">
        <v>83</v>
      </c>
    </row>
    <row r="11" spans="2:15" x14ac:dyDescent="0.2">
      <c r="B11" s="6">
        <v>9</v>
      </c>
      <c r="C11" s="7" t="s">
        <v>100</v>
      </c>
      <c r="D11" s="7" t="s">
        <v>101</v>
      </c>
      <c r="E11" s="7" t="s">
        <v>102</v>
      </c>
      <c r="F11" s="7" t="s">
        <v>103</v>
      </c>
      <c r="G11" s="7" t="s">
        <v>104</v>
      </c>
      <c r="H11" s="7" t="s">
        <v>101</v>
      </c>
      <c r="I11" s="7" t="s">
        <v>101</v>
      </c>
      <c r="J11" s="7" t="s">
        <v>55</v>
      </c>
      <c r="K11" s="7" t="s">
        <v>56</v>
      </c>
      <c r="L11" s="7" t="s">
        <v>105</v>
      </c>
      <c r="M11" s="7" t="s">
        <v>106</v>
      </c>
      <c r="N11" s="8">
        <v>83400</v>
      </c>
      <c r="O11" s="7">
        <v>65</v>
      </c>
    </row>
    <row r="12" spans="2:15" x14ac:dyDescent="0.2">
      <c r="B12" s="6">
        <v>10</v>
      </c>
      <c r="C12" s="7" t="s">
        <v>107</v>
      </c>
      <c r="D12" s="7" t="s">
        <v>69</v>
      </c>
      <c r="E12" s="7" t="s">
        <v>61</v>
      </c>
      <c r="F12" s="7" t="s">
        <v>62</v>
      </c>
      <c r="G12" s="7" t="s">
        <v>108</v>
      </c>
      <c r="H12" s="7" t="s">
        <v>85</v>
      </c>
      <c r="I12" s="7" t="s">
        <v>69</v>
      </c>
      <c r="J12" s="7" t="s">
        <v>65</v>
      </c>
      <c r="K12" s="7" t="s">
        <v>56</v>
      </c>
      <c r="L12" s="7" t="s">
        <v>109</v>
      </c>
      <c r="M12" s="7" t="s">
        <v>110</v>
      </c>
      <c r="N12" s="8">
        <v>80700</v>
      </c>
      <c r="O12" s="7">
        <v>67</v>
      </c>
    </row>
    <row r="13" spans="2:15" x14ac:dyDescent="0.2">
      <c r="B13" s="6">
        <v>11</v>
      </c>
      <c r="C13" s="7" t="s">
        <v>111</v>
      </c>
      <c r="D13" s="7" t="s">
        <v>50</v>
      </c>
      <c r="E13" s="7" t="s">
        <v>51</v>
      </c>
      <c r="F13" s="7" t="s">
        <v>52</v>
      </c>
      <c r="G13" s="7" t="s">
        <v>53</v>
      </c>
      <c r="H13" s="7" t="s">
        <v>112</v>
      </c>
      <c r="I13" s="7" t="s">
        <v>50</v>
      </c>
      <c r="J13" s="7" t="s">
        <v>55</v>
      </c>
      <c r="K13" s="7" t="s">
        <v>113</v>
      </c>
      <c r="L13" s="7" t="s">
        <v>114</v>
      </c>
      <c r="M13" s="7" t="s">
        <v>115</v>
      </c>
      <c r="N13" s="8">
        <v>80500</v>
      </c>
      <c r="O13" s="7">
        <v>69</v>
      </c>
    </row>
    <row r="14" spans="2:15" x14ac:dyDescent="0.2">
      <c r="B14" s="6">
        <v>12</v>
      </c>
      <c r="C14" s="7" t="s">
        <v>116</v>
      </c>
      <c r="D14" s="7" t="s">
        <v>69</v>
      </c>
      <c r="E14" s="7" t="s">
        <v>61</v>
      </c>
      <c r="F14" s="7" t="s">
        <v>62</v>
      </c>
      <c r="G14" s="7" t="s">
        <v>117</v>
      </c>
      <c r="H14" s="7" t="s">
        <v>118</v>
      </c>
      <c r="I14" s="7" t="s">
        <v>69</v>
      </c>
      <c r="J14" s="7" t="s">
        <v>65</v>
      </c>
      <c r="K14" s="7" t="s">
        <v>56</v>
      </c>
      <c r="L14" s="7" t="s">
        <v>119</v>
      </c>
      <c r="M14" s="7" t="s">
        <v>77</v>
      </c>
      <c r="N14" s="8">
        <v>79200</v>
      </c>
      <c r="O14" s="7">
        <v>50</v>
      </c>
    </row>
    <row r="15" spans="2:15" x14ac:dyDescent="0.2">
      <c r="B15" s="6">
        <v>13</v>
      </c>
      <c r="C15" s="7" t="s">
        <v>120</v>
      </c>
      <c r="D15" s="7" t="s">
        <v>50</v>
      </c>
      <c r="E15" s="7" t="s">
        <v>121</v>
      </c>
      <c r="F15" s="7" t="s">
        <v>52</v>
      </c>
      <c r="G15" s="7" t="s">
        <v>122</v>
      </c>
      <c r="H15" s="7" t="s">
        <v>123</v>
      </c>
      <c r="I15" s="7" t="s">
        <v>50</v>
      </c>
      <c r="J15" s="7" t="s">
        <v>65</v>
      </c>
      <c r="K15" s="7" t="s">
        <v>56</v>
      </c>
      <c r="L15" s="7" t="s">
        <v>124</v>
      </c>
      <c r="M15" s="7" t="s">
        <v>125</v>
      </c>
      <c r="N15" s="8">
        <v>77300</v>
      </c>
      <c r="O15" s="7">
        <v>87</v>
      </c>
    </row>
    <row r="16" spans="2:15" x14ac:dyDescent="0.2">
      <c r="B16" s="6">
        <v>14</v>
      </c>
      <c r="C16" s="7" t="s">
        <v>126</v>
      </c>
      <c r="D16" s="7" t="s">
        <v>69</v>
      </c>
      <c r="E16" s="7" t="s">
        <v>61</v>
      </c>
      <c r="F16" s="7" t="s">
        <v>62</v>
      </c>
      <c r="G16" s="7" t="s">
        <v>127</v>
      </c>
      <c r="H16" s="7" t="s">
        <v>118</v>
      </c>
      <c r="I16" s="7" t="s">
        <v>69</v>
      </c>
      <c r="J16" s="7" t="s">
        <v>65</v>
      </c>
      <c r="K16" s="7" t="s">
        <v>56</v>
      </c>
      <c r="L16" s="7" t="s">
        <v>128</v>
      </c>
      <c r="M16" s="7" t="s">
        <v>129</v>
      </c>
      <c r="N16" s="8">
        <v>76000</v>
      </c>
      <c r="O16" s="7">
        <v>49</v>
      </c>
    </row>
    <row r="17" spans="2:15" x14ac:dyDescent="0.2">
      <c r="B17" s="6">
        <v>15</v>
      </c>
      <c r="C17" s="7" t="s">
        <v>130</v>
      </c>
      <c r="D17" s="7" t="s">
        <v>131</v>
      </c>
      <c r="E17" s="7" t="s">
        <v>132</v>
      </c>
      <c r="F17" s="7" t="s">
        <v>103</v>
      </c>
      <c r="G17" s="7" t="s">
        <v>133</v>
      </c>
      <c r="H17" s="7" t="s">
        <v>134</v>
      </c>
      <c r="I17" s="7" t="s">
        <v>131</v>
      </c>
      <c r="J17" s="7" t="s">
        <v>65</v>
      </c>
      <c r="K17" s="7" t="s">
        <v>56</v>
      </c>
      <c r="L17" s="7" t="s">
        <v>135</v>
      </c>
      <c r="M17" s="7" t="s">
        <v>136</v>
      </c>
      <c r="N17" s="8">
        <v>68000</v>
      </c>
      <c r="O17" s="7">
        <v>68</v>
      </c>
    </row>
    <row r="18" spans="2:15" x14ac:dyDescent="0.2">
      <c r="B18" s="6">
        <v>16</v>
      </c>
      <c r="C18" s="7" t="s">
        <v>137</v>
      </c>
      <c r="D18" s="7" t="s">
        <v>69</v>
      </c>
      <c r="E18" s="7" t="s">
        <v>61</v>
      </c>
      <c r="F18" s="7" t="s">
        <v>62</v>
      </c>
      <c r="G18" s="7" t="s">
        <v>117</v>
      </c>
      <c r="H18" s="7" t="s">
        <v>138</v>
      </c>
      <c r="I18" s="7" t="s">
        <v>69</v>
      </c>
      <c r="J18" s="7" t="s">
        <v>65</v>
      </c>
      <c r="K18" s="7" t="s">
        <v>56</v>
      </c>
      <c r="L18" s="7" t="s">
        <v>139</v>
      </c>
      <c r="M18" s="7" t="s">
        <v>140</v>
      </c>
      <c r="N18" s="8">
        <v>64400</v>
      </c>
      <c r="O18" s="7">
        <v>38</v>
      </c>
    </row>
    <row r="19" spans="2:15" x14ac:dyDescent="0.2">
      <c r="B19" s="6">
        <v>17</v>
      </c>
      <c r="C19" s="7" t="s">
        <v>141</v>
      </c>
      <c r="D19" s="7" t="s">
        <v>101</v>
      </c>
      <c r="E19" s="7" t="s">
        <v>61</v>
      </c>
      <c r="F19" s="7" t="s">
        <v>62</v>
      </c>
      <c r="G19" s="7" t="s">
        <v>142</v>
      </c>
      <c r="H19" s="7" t="s">
        <v>143</v>
      </c>
      <c r="I19" s="7" t="s">
        <v>101</v>
      </c>
      <c r="J19" s="7" t="s">
        <v>55</v>
      </c>
      <c r="K19" s="7" t="s">
        <v>56</v>
      </c>
      <c r="L19" s="7" t="s">
        <v>144</v>
      </c>
      <c r="M19" s="7" t="s">
        <v>145</v>
      </c>
      <c r="N19" s="8">
        <v>59000</v>
      </c>
      <c r="O19" s="7">
        <v>87</v>
      </c>
    </row>
    <row r="20" spans="2:15" x14ac:dyDescent="0.2">
      <c r="B20" s="6">
        <v>17</v>
      </c>
      <c r="C20" s="7" t="s">
        <v>146</v>
      </c>
      <c r="D20" s="7" t="s">
        <v>101</v>
      </c>
      <c r="E20" s="7" t="s">
        <v>61</v>
      </c>
      <c r="F20" s="7" t="s">
        <v>62</v>
      </c>
      <c r="G20" s="7" t="s">
        <v>90</v>
      </c>
      <c r="H20" s="7" t="s">
        <v>143</v>
      </c>
      <c r="I20" s="7" t="s">
        <v>101</v>
      </c>
      <c r="J20" s="7" t="s">
        <v>55</v>
      </c>
      <c r="K20" s="7" t="s">
        <v>113</v>
      </c>
      <c r="L20" s="7" t="s">
        <v>144</v>
      </c>
      <c r="M20" s="7" t="s">
        <v>147</v>
      </c>
      <c r="N20" s="8">
        <v>59000</v>
      </c>
      <c r="O20" s="7">
        <v>60</v>
      </c>
    </row>
    <row r="21" spans="2:15" x14ac:dyDescent="0.2">
      <c r="B21" s="6">
        <v>19</v>
      </c>
      <c r="C21" s="7" t="s">
        <v>148</v>
      </c>
      <c r="D21" s="7" t="s">
        <v>50</v>
      </c>
      <c r="E21" s="7" t="s">
        <v>61</v>
      </c>
      <c r="F21" s="7" t="s">
        <v>62</v>
      </c>
      <c r="G21" s="7" t="s">
        <v>149</v>
      </c>
      <c r="H21" s="7" t="s">
        <v>8</v>
      </c>
      <c r="I21" s="7" t="s">
        <v>50</v>
      </c>
      <c r="J21" s="7" t="s">
        <v>55</v>
      </c>
      <c r="K21" s="7" t="s">
        <v>56</v>
      </c>
      <c r="L21" s="7" t="s">
        <v>150</v>
      </c>
      <c r="M21" s="7" t="s">
        <v>151</v>
      </c>
      <c r="N21" s="8">
        <v>58800</v>
      </c>
      <c r="O21" s="7">
        <v>74</v>
      </c>
    </row>
    <row r="22" spans="2:15" x14ac:dyDescent="0.2">
      <c r="B22" s="6">
        <v>20</v>
      </c>
      <c r="C22" s="7" t="s">
        <v>152</v>
      </c>
      <c r="D22" s="7" t="s">
        <v>50</v>
      </c>
      <c r="E22" s="7" t="s">
        <v>61</v>
      </c>
      <c r="F22" s="7" t="s">
        <v>62</v>
      </c>
      <c r="G22" s="7" t="s">
        <v>149</v>
      </c>
      <c r="H22" s="7" t="s">
        <v>8</v>
      </c>
      <c r="I22" s="7" t="s">
        <v>50</v>
      </c>
      <c r="J22" s="7" t="s">
        <v>55</v>
      </c>
      <c r="K22" s="7" t="s">
        <v>56</v>
      </c>
      <c r="L22" s="7" t="s">
        <v>150</v>
      </c>
      <c r="M22" s="7" t="s">
        <v>153</v>
      </c>
      <c r="N22" s="8">
        <v>57600</v>
      </c>
      <c r="O22" s="7">
        <v>78</v>
      </c>
    </row>
    <row r="23" spans="2:15" x14ac:dyDescent="0.2">
      <c r="B23" s="6">
        <v>21</v>
      </c>
      <c r="C23" s="7" t="s">
        <v>154</v>
      </c>
      <c r="D23" s="7" t="s">
        <v>50</v>
      </c>
      <c r="E23" s="7" t="s">
        <v>61</v>
      </c>
      <c r="F23" s="7" t="s">
        <v>62</v>
      </c>
      <c r="G23" s="7" t="s">
        <v>155</v>
      </c>
      <c r="H23" s="7" t="s">
        <v>8</v>
      </c>
      <c r="I23" s="7" t="s">
        <v>50</v>
      </c>
      <c r="J23" s="7" t="s">
        <v>55</v>
      </c>
      <c r="K23" s="7" t="s">
        <v>113</v>
      </c>
      <c r="L23" s="7" t="s">
        <v>150</v>
      </c>
      <c r="M23" s="7" t="s">
        <v>25</v>
      </c>
      <c r="N23" s="8">
        <v>56700</v>
      </c>
      <c r="O23" s="7">
        <v>73</v>
      </c>
    </row>
    <row r="24" spans="2:15" x14ac:dyDescent="0.2">
      <c r="B24" s="6">
        <v>22</v>
      </c>
      <c r="C24" s="7" t="s">
        <v>156</v>
      </c>
      <c r="D24" s="7" t="s">
        <v>89</v>
      </c>
      <c r="E24" s="7" t="s">
        <v>157</v>
      </c>
      <c r="F24" s="7" t="s">
        <v>62</v>
      </c>
      <c r="G24" s="7" t="s">
        <v>158</v>
      </c>
      <c r="H24" s="7" t="s">
        <v>89</v>
      </c>
      <c r="I24" s="7" t="s">
        <v>89</v>
      </c>
      <c r="J24" s="7" t="s">
        <v>55</v>
      </c>
      <c r="K24" s="7" t="s">
        <v>56</v>
      </c>
      <c r="L24" s="7" t="s">
        <v>159</v>
      </c>
      <c r="M24" s="7" t="s">
        <v>160</v>
      </c>
      <c r="N24" s="8">
        <v>54400</v>
      </c>
      <c r="O24" s="7">
        <v>65</v>
      </c>
    </row>
    <row r="25" spans="2:15" x14ac:dyDescent="0.2">
      <c r="B25" s="6">
        <v>23</v>
      </c>
      <c r="C25" s="7" t="s">
        <v>161</v>
      </c>
      <c r="D25" s="7" t="s">
        <v>69</v>
      </c>
      <c r="E25" s="7" t="s">
        <v>61</v>
      </c>
      <c r="F25" s="7" t="s">
        <v>62</v>
      </c>
      <c r="G25" s="7" t="s">
        <v>63</v>
      </c>
      <c r="H25" s="7" t="s">
        <v>162</v>
      </c>
      <c r="I25" s="7" t="s">
        <v>69</v>
      </c>
      <c r="J25" s="7" t="s">
        <v>65</v>
      </c>
      <c r="K25" s="7" t="s">
        <v>56</v>
      </c>
      <c r="L25" s="7" t="s">
        <v>163</v>
      </c>
      <c r="M25" s="7" t="s">
        <v>93</v>
      </c>
      <c r="N25" s="8">
        <v>50100</v>
      </c>
      <c r="O25" s="7">
        <v>58</v>
      </c>
    </row>
    <row r="26" spans="2:15" x14ac:dyDescent="0.2">
      <c r="B26" s="6">
        <v>24</v>
      </c>
      <c r="C26" s="7" t="s">
        <v>164</v>
      </c>
      <c r="D26" s="7" t="s">
        <v>101</v>
      </c>
      <c r="E26" s="7" t="s">
        <v>102</v>
      </c>
      <c r="F26" s="7" t="s">
        <v>103</v>
      </c>
      <c r="G26" s="7" t="s">
        <v>165</v>
      </c>
      <c r="H26" s="7" t="s">
        <v>166</v>
      </c>
      <c r="I26" s="7" t="s">
        <v>101</v>
      </c>
      <c r="J26" s="7" t="s">
        <v>65</v>
      </c>
      <c r="K26" s="7" t="s">
        <v>56</v>
      </c>
      <c r="L26" s="7" t="s">
        <v>167</v>
      </c>
      <c r="M26" s="7" t="s">
        <v>168</v>
      </c>
      <c r="N26" s="8">
        <v>47200</v>
      </c>
      <c r="O26" s="7">
        <v>60</v>
      </c>
    </row>
    <row r="27" spans="2:15" x14ac:dyDescent="0.2">
      <c r="B27" s="6">
        <v>25</v>
      </c>
      <c r="C27" s="7" t="s">
        <v>169</v>
      </c>
      <c r="D27" s="7" t="s">
        <v>50</v>
      </c>
      <c r="E27" s="7" t="s">
        <v>61</v>
      </c>
      <c r="F27" s="7" t="s">
        <v>62</v>
      </c>
      <c r="G27" s="7" t="s">
        <v>170</v>
      </c>
      <c r="H27" s="7" t="s">
        <v>2</v>
      </c>
      <c r="I27" s="7" t="s">
        <v>50</v>
      </c>
      <c r="J27" s="7" t="s">
        <v>65</v>
      </c>
      <c r="K27" s="7" t="s">
        <v>56</v>
      </c>
      <c r="L27" s="7" t="s">
        <v>171</v>
      </c>
      <c r="M27" s="7" t="s">
        <v>172</v>
      </c>
      <c r="N27" s="8">
        <v>45100</v>
      </c>
      <c r="O27" s="7">
        <v>85</v>
      </c>
    </row>
    <row r="28" spans="2:15" x14ac:dyDescent="0.2">
      <c r="B28" s="6">
        <v>26</v>
      </c>
      <c r="C28" s="7" t="s">
        <v>173</v>
      </c>
      <c r="D28" s="7" t="s">
        <v>69</v>
      </c>
      <c r="E28" s="7" t="s">
        <v>132</v>
      </c>
      <c r="F28" s="7" t="s">
        <v>103</v>
      </c>
      <c r="G28" s="7" t="s">
        <v>174</v>
      </c>
      <c r="H28" s="7" t="s">
        <v>175</v>
      </c>
      <c r="I28" s="7" t="s">
        <v>69</v>
      </c>
      <c r="J28" s="7" t="s">
        <v>65</v>
      </c>
      <c r="K28" s="7" t="s">
        <v>56</v>
      </c>
      <c r="L28" s="7" t="s">
        <v>176</v>
      </c>
      <c r="M28" s="7" t="s">
        <v>177</v>
      </c>
      <c r="N28" s="8">
        <v>45000</v>
      </c>
      <c r="O28" s="7">
        <v>39</v>
      </c>
    </row>
    <row r="29" spans="2:15" x14ac:dyDescent="0.2">
      <c r="B29" s="6">
        <v>27</v>
      </c>
      <c r="C29" s="7" t="s">
        <v>178</v>
      </c>
      <c r="D29" s="7" t="s">
        <v>50</v>
      </c>
      <c r="E29" s="7" t="s">
        <v>179</v>
      </c>
      <c r="F29" s="7" t="s">
        <v>52</v>
      </c>
      <c r="G29" s="7" t="s">
        <v>180</v>
      </c>
      <c r="H29" s="7" t="s">
        <v>181</v>
      </c>
      <c r="I29" s="7" t="s">
        <v>50</v>
      </c>
      <c r="J29" s="7" t="s">
        <v>55</v>
      </c>
      <c r="K29" s="7" t="s">
        <v>56</v>
      </c>
      <c r="L29" s="7" t="s">
        <v>182</v>
      </c>
      <c r="M29" s="7" t="s">
        <v>183</v>
      </c>
      <c r="N29" s="8">
        <v>42900</v>
      </c>
      <c r="O29" s="7">
        <v>83</v>
      </c>
    </row>
    <row r="30" spans="2:15" x14ac:dyDescent="0.2">
      <c r="B30" s="6">
        <v>28</v>
      </c>
      <c r="C30" s="7" t="s">
        <v>184</v>
      </c>
      <c r="D30" s="7" t="s">
        <v>50</v>
      </c>
      <c r="E30" s="7" t="s">
        <v>51</v>
      </c>
      <c r="F30" s="7" t="s">
        <v>52</v>
      </c>
      <c r="G30" s="7" t="s">
        <v>53</v>
      </c>
      <c r="H30" s="7" t="s">
        <v>185</v>
      </c>
      <c r="I30" s="7" t="s">
        <v>50</v>
      </c>
      <c r="J30" s="7" t="s">
        <v>65</v>
      </c>
      <c r="K30" s="7" t="s">
        <v>56</v>
      </c>
      <c r="L30" s="7" t="s">
        <v>186</v>
      </c>
      <c r="M30" s="7" t="s">
        <v>187</v>
      </c>
      <c r="N30" s="8">
        <v>40100</v>
      </c>
      <c r="O30" s="7">
        <v>86</v>
      </c>
    </row>
    <row r="31" spans="2:15" x14ac:dyDescent="0.2">
      <c r="B31" s="6">
        <v>29</v>
      </c>
      <c r="C31" s="7" t="s">
        <v>188</v>
      </c>
      <c r="D31" s="7" t="s">
        <v>189</v>
      </c>
      <c r="E31" s="7" t="s">
        <v>190</v>
      </c>
      <c r="F31" s="7" t="s">
        <v>52</v>
      </c>
      <c r="G31" s="7" t="s">
        <v>191</v>
      </c>
      <c r="H31" s="7" t="s">
        <v>192</v>
      </c>
      <c r="I31" s="7" t="s">
        <v>189</v>
      </c>
      <c r="J31" s="7" t="s">
        <v>55</v>
      </c>
      <c r="K31" s="7" t="s">
        <v>56</v>
      </c>
      <c r="L31" s="7" t="s">
        <v>193</v>
      </c>
      <c r="M31" s="7" t="s">
        <v>194</v>
      </c>
      <c r="N31" s="8">
        <v>39100</v>
      </c>
      <c r="O31" s="7">
        <v>85</v>
      </c>
    </row>
    <row r="32" spans="2:15" x14ac:dyDescent="0.2">
      <c r="B32" s="6">
        <v>30</v>
      </c>
      <c r="C32" s="7" t="s">
        <v>195</v>
      </c>
      <c r="D32" s="7" t="s">
        <v>131</v>
      </c>
      <c r="E32" s="7" t="s">
        <v>196</v>
      </c>
      <c r="F32" s="7" t="s">
        <v>52</v>
      </c>
      <c r="G32" s="7" t="s">
        <v>197</v>
      </c>
      <c r="H32" s="7" t="s">
        <v>198</v>
      </c>
      <c r="I32" s="7" t="s">
        <v>131</v>
      </c>
      <c r="J32" s="7" t="s">
        <v>55</v>
      </c>
      <c r="K32" s="7" t="s">
        <v>56</v>
      </c>
      <c r="L32" s="7" t="s">
        <v>199</v>
      </c>
      <c r="M32" s="7" t="s">
        <v>200</v>
      </c>
      <c r="N32" s="8">
        <v>38900</v>
      </c>
      <c r="O32" s="7">
        <v>58</v>
      </c>
    </row>
    <row r="33" spans="2:15" x14ac:dyDescent="0.2">
      <c r="B33" s="6">
        <v>31</v>
      </c>
      <c r="C33" s="7" t="s">
        <v>201</v>
      </c>
      <c r="D33" s="7" t="s">
        <v>131</v>
      </c>
      <c r="E33" s="7" t="s">
        <v>61</v>
      </c>
      <c r="F33" s="7" t="s">
        <v>62</v>
      </c>
      <c r="G33" s="7" t="s">
        <v>202</v>
      </c>
      <c r="H33" s="7" t="s">
        <v>203</v>
      </c>
      <c r="I33" s="7" t="s">
        <v>131</v>
      </c>
      <c r="J33" s="7" t="s">
        <v>55</v>
      </c>
      <c r="K33" s="7" t="s">
        <v>113</v>
      </c>
      <c r="L33" s="7" t="s">
        <v>204</v>
      </c>
      <c r="M33" s="7" t="s">
        <v>205</v>
      </c>
      <c r="N33" s="8">
        <v>38300</v>
      </c>
      <c r="O33" s="7">
        <v>83</v>
      </c>
    </row>
    <row r="34" spans="2:15" x14ac:dyDescent="0.2">
      <c r="B34" s="6">
        <v>31</v>
      </c>
      <c r="C34" s="7" t="s">
        <v>206</v>
      </c>
      <c r="D34" s="7" t="s">
        <v>131</v>
      </c>
      <c r="E34" s="7" t="s">
        <v>61</v>
      </c>
      <c r="F34" s="7" t="s">
        <v>62</v>
      </c>
      <c r="G34" s="7" t="s">
        <v>207</v>
      </c>
      <c r="H34" s="7" t="s">
        <v>203</v>
      </c>
      <c r="I34" s="7" t="s">
        <v>131</v>
      </c>
      <c r="J34" s="7" t="s">
        <v>55</v>
      </c>
      <c r="K34" s="7" t="s">
        <v>56</v>
      </c>
      <c r="L34" s="7" t="s">
        <v>204</v>
      </c>
      <c r="M34" s="7" t="s">
        <v>208</v>
      </c>
      <c r="N34" s="8">
        <v>38300</v>
      </c>
      <c r="O34" s="7">
        <v>87</v>
      </c>
    </row>
    <row r="35" spans="2:15" x14ac:dyDescent="0.2">
      <c r="B35" s="6">
        <v>34</v>
      </c>
      <c r="C35" s="7" t="s">
        <v>209</v>
      </c>
      <c r="D35" s="7" t="s">
        <v>69</v>
      </c>
      <c r="E35" s="7" t="s">
        <v>132</v>
      </c>
      <c r="F35" s="7" t="s">
        <v>103</v>
      </c>
      <c r="G35" s="7" t="s">
        <v>210</v>
      </c>
      <c r="H35" s="7" t="s">
        <v>211</v>
      </c>
      <c r="I35" s="7" t="s">
        <v>69</v>
      </c>
      <c r="J35" s="7" t="s">
        <v>65</v>
      </c>
      <c r="K35" s="7" t="s">
        <v>56</v>
      </c>
      <c r="L35" s="7" t="s">
        <v>212</v>
      </c>
      <c r="M35" s="7" t="s">
        <v>213</v>
      </c>
      <c r="N35" s="8">
        <v>35300</v>
      </c>
      <c r="O35" s="7">
        <v>51</v>
      </c>
    </row>
    <row r="36" spans="2:15" x14ac:dyDescent="0.2">
      <c r="B36" s="6">
        <v>35</v>
      </c>
      <c r="C36" s="7" t="s">
        <v>214</v>
      </c>
      <c r="D36" s="7" t="s">
        <v>215</v>
      </c>
      <c r="E36" s="7" t="s">
        <v>61</v>
      </c>
      <c r="F36" s="7" t="s">
        <v>62</v>
      </c>
      <c r="G36" s="7" t="s">
        <v>216</v>
      </c>
      <c r="H36" s="7" t="s">
        <v>217</v>
      </c>
      <c r="I36" s="7" t="s">
        <v>215</v>
      </c>
      <c r="J36" s="7" t="s">
        <v>55</v>
      </c>
      <c r="K36" s="7" t="s">
        <v>113</v>
      </c>
      <c r="L36" s="7" t="s">
        <v>218</v>
      </c>
      <c r="M36" s="7" t="s">
        <v>219</v>
      </c>
      <c r="N36" s="8">
        <v>35000</v>
      </c>
      <c r="O36" s="7">
        <v>77</v>
      </c>
    </row>
    <row r="37" spans="2:15" x14ac:dyDescent="0.2">
      <c r="B37" s="6">
        <v>35</v>
      </c>
      <c r="C37" s="7" t="s">
        <v>220</v>
      </c>
      <c r="D37" s="7" t="s">
        <v>79</v>
      </c>
      <c r="E37" s="7" t="s">
        <v>61</v>
      </c>
      <c r="F37" s="7" t="s">
        <v>62</v>
      </c>
      <c r="G37" s="7" t="s">
        <v>221</v>
      </c>
      <c r="H37" s="7" t="s">
        <v>222</v>
      </c>
      <c r="I37" s="7" t="s">
        <v>79</v>
      </c>
      <c r="J37" s="7" t="s">
        <v>65</v>
      </c>
      <c r="K37" s="7" t="s">
        <v>56</v>
      </c>
      <c r="L37" s="7" t="s">
        <v>223</v>
      </c>
      <c r="M37" s="7" t="s">
        <v>224</v>
      </c>
      <c r="N37" s="8">
        <v>35000</v>
      </c>
      <c r="O37" s="7">
        <v>54</v>
      </c>
    </row>
    <row r="38" spans="2:15" x14ac:dyDescent="0.2">
      <c r="B38" s="6">
        <v>37</v>
      </c>
      <c r="C38" s="7" t="s">
        <v>225</v>
      </c>
      <c r="D38" s="7" t="s">
        <v>131</v>
      </c>
      <c r="E38" s="7" t="s">
        <v>226</v>
      </c>
      <c r="F38" s="7" t="s">
        <v>52</v>
      </c>
      <c r="G38" s="7" t="s">
        <v>227</v>
      </c>
      <c r="H38" s="7" t="s">
        <v>228</v>
      </c>
      <c r="I38" s="7" t="s">
        <v>131</v>
      </c>
      <c r="J38" s="7" t="s">
        <v>55</v>
      </c>
      <c r="K38" s="7" t="s">
        <v>56</v>
      </c>
      <c r="L38" s="7" t="s">
        <v>229</v>
      </c>
      <c r="M38" s="7" t="s">
        <v>140</v>
      </c>
      <c r="N38" s="8">
        <v>34700</v>
      </c>
      <c r="O38" s="7">
        <v>30</v>
      </c>
    </row>
    <row r="39" spans="2:15" x14ac:dyDescent="0.2">
      <c r="B39" s="6">
        <v>38</v>
      </c>
      <c r="C39" s="7" t="s">
        <v>230</v>
      </c>
      <c r="D39" s="7" t="s">
        <v>60</v>
      </c>
      <c r="E39" s="7" t="s">
        <v>132</v>
      </c>
      <c r="F39" s="7" t="s">
        <v>103</v>
      </c>
      <c r="G39" s="7" t="s">
        <v>231</v>
      </c>
      <c r="H39" s="7" t="s">
        <v>232</v>
      </c>
      <c r="I39" s="7" t="s">
        <v>60</v>
      </c>
      <c r="J39" s="7" t="s">
        <v>65</v>
      </c>
      <c r="K39" s="7" t="s">
        <v>56</v>
      </c>
      <c r="L39" s="7" t="s">
        <v>233</v>
      </c>
      <c r="M39" s="7" t="s">
        <v>234</v>
      </c>
      <c r="N39" s="8">
        <v>33400</v>
      </c>
      <c r="O39" s="7">
        <v>54</v>
      </c>
    </row>
    <row r="40" spans="2:15" x14ac:dyDescent="0.2">
      <c r="B40" s="6">
        <v>39</v>
      </c>
      <c r="C40" s="7" t="s">
        <v>235</v>
      </c>
      <c r="D40" s="7" t="s">
        <v>50</v>
      </c>
      <c r="E40" s="7" t="s">
        <v>236</v>
      </c>
      <c r="F40" s="7" t="s">
        <v>103</v>
      </c>
      <c r="G40" s="7" t="s">
        <v>237</v>
      </c>
      <c r="H40" s="7" t="s">
        <v>238</v>
      </c>
      <c r="I40" s="7" t="s">
        <v>50</v>
      </c>
      <c r="J40" s="7" t="s">
        <v>65</v>
      </c>
      <c r="K40" s="7" t="s">
        <v>56</v>
      </c>
      <c r="L40" s="7" t="s">
        <v>239</v>
      </c>
      <c r="M40" s="7" t="s">
        <v>240</v>
      </c>
      <c r="N40" s="8">
        <v>32600</v>
      </c>
      <c r="O40" s="7">
        <v>74</v>
      </c>
    </row>
    <row r="41" spans="2:15" x14ac:dyDescent="0.2">
      <c r="B41" s="6">
        <v>40</v>
      </c>
      <c r="C41" s="7" t="s">
        <v>241</v>
      </c>
      <c r="D41" s="7" t="s">
        <v>101</v>
      </c>
      <c r="E41" s="7" t="s">
        <v>242</v>
      </c>
      <c r="F41" s="7" t="s">
        <v>52</v>
      </c>
      <c r="G41" s="7" t="s">
        <v>243</v>
      </c>
      <c r="H41" s="7" t="s">
        <v>244</v>
      </c>
      <c r="I41" s="7" t="s">
        <v>101</v>
      </c>
      <c r="J41" s="7" t="s">
        <v>65</v>
      </c>
      <c r="K41" s="7" t="s">
        <v>56</v>
      </c>
      <c r="L41" s="7" t="s">
        <v>245</v>
      </c>
      <c r="M41" s="7" t="s">
        <v>246</v>
      </c>
      <c r="N41" s="8">
        <v>32100</v>
      </c>
      <c r="O41" s="7">
        <v>65</v>
      </c>
    </row>
    <row r="42" spans="2:15" x14ac:dyDescent="0.2">
      <c r="B42" s="6">
        <v>41</v>
      </c>
      <c r="C42" s="7" t="s">
        <v>247</v>
      </c>
      <c r="D42" s="7" t="s">
        <v>50</v>
      </c>
      <c r="E42" s="7" t="s">
        <v>61</v>
      </c>
      <c r="F42" s="7" t="s">
        <v>62</v>
      </c>
      <c r="G42" s="7" t="s">
        <v>90</v>
      </c>
      <c r="H42" s="7" t="s">
        <v>248</v>
      </c>
      <c r="I42" s="7" t="s">
        <v>50</v>
      </c>
      <c r="J42" s="7" t="s">
        <v>55</v>
      </c>
      <c r="K42" s="7" t="s">
        <v>56</v>
      </c>
      <c r="L42" s="7" t="s">
        <v>249</v>
      </c>
      <c r="M42" s="7" t="s">
        <v>250</v>
      </c>
      <c r="N42" s="8">
        <v>31600</v>
      </c>
      <c r="O42" s="7">
        <v>74</v>
      </c>
    </row>
    <row r="43" spans="2:15" x14ac:dyDescent="0.2">
      <c r="B43" s="6">
        <v>41</v>
      </c>
      <c r="C43" s="7" t="s">
        <v>251</v>
      </c>
      <c r="D43" s="7" t="s">
        <v>50</v>
      </c>
      <c r="E43" s="7" t="s">
        <v>61</v>
      </c>
      <c r="F43" s="7" t="s">
        <v>62</v>
      </c>
      <c r="G43" s="7" t="s">
        <v>90</v>
      </c>
      <c r="H43" s="7" t="s">
        <v>248</v>
      </c>
      <c r="I43" s="7" t="s">
        <v>50</v>
      </c>
      <c r="J43" s="7" t="s">
        <v>55</v>
      </c>
      <c r="K43" s="7" t="s">
        <v>56</v>
      </c>
      <c r="L43" s="7" t="s">
        <v>249</v>
      </c>
      <c r="M43" s="7" t="s">
        <v>252</v>
      </c>
      <c r="N43" s="8">
        <v>31600</v>
      </c>
      <c r="O43" s="7">
        <v>72</v>
      </c>
    </row>
    <row r="44" spans="2:15" x14ac:dyDescent="0.2">
      <c r="B44" s="6">
        <v>43</v>
      </c>
      <c r="C44" s="7" t="s">
        <v>253</v>
      </c>
      <c r="D44" s="7" t="s">
        <v>189</v>
      </c>
      <c r="E44" s="7" t="s">
        <v>190</v>
      </c>
      <c r="F44" s="7" t="s">
        <v>52</v>
      </c>
      <c r="G44" s="7" t="s">
        <v>254</v>
      </c>
      <c r="H44" s="7" t="s">
        <v>192</v>
      </c>
      <c r="I44" s="7" t="s">
        <v>189</v>
      </c>
      <c r="J44" s="7" t="s">
        <v>65</v>
      </c>
      <c r="K44" s="7" t="s">
        <v>56</v>
      </c>
      <c r="L44" s="7" t="s">
        <v>255</v>
      </c>
      <c r="M44" s="7" t="s">
        <v>256</v>
      </c>
      <c r="N44" s="8">
        <v>31200</v>
      </c>
      <c r="O44" s="7">
        <v>82</v>
      </c>
    </row>
    <row r="45" spans="2:15" x14ac:dyDescent="0.2">
      <c r="B45" s="6">
        <v>43</v>
      </c>
      <c r="C45" s="7" t="s">
        <v>257</v>
      </c>
      <c r="D45" s="7" t="s">
        <v>189</v>
      </c>
      <c r="E45" s="7" t="s">
        <v>190</v>
      </c>
      <c r="F45" s="7" t="s">
        <v>52</v>
      </c>
      <c r="G45" s="7" t="s">
        <v>254</v>
      </c>
      <c r="H45" s="7" t="s">
        <v>192</v>
      </c>
      <c r="I45" s="7" t="s">
        <v>189</v>
      </c>
      <c r="J45" s="7" t="s">
        <v>65</v>
      </c>
      <c r="K45" s="7" t="s">
        <v>113</v>
      </c>
      <c r="L45" s="7" t="s">
        <v>258</v>
      </c>
      <c r="M45" s="7" t="s">
        <v>259</v>
      </c>
      <c r="N45" s="8">
        <v>31200</v>
      </c>
      <c r="O45" s="7">
        <v>78</v>
      </c>
    </row>
    <row r="46" spans="2:15" x14ac:dyDescent="0.2">
      <c r="B46" s="6">
        <v>45</v>
      </c>
      <c r="C46" s="7" t="s">
        <v>260</v>
      </c>
      <c r="D46" s="7" t="s">
        <v>69</v>
      </c>
      <c r="E46" s="7" t="s">
        <v>132</v>
      </c>
      <c r="F46" s="7" t="s">
        <v>103</v>
      </c>
      <c r="G46" s="7" t="s">
        <v>261</v>
      </c>
      <c r="H46" s="7" t="s">
        <v>262</v>
      </c>
      <c r="I46" s="7" t="s">
        <v>69</v>
      </c>
      <c r="J46" s="7" t="s">
        <v>65</v>
      </c>
      <c r="K46" s="7" t="s">
        <v>56</v>
      </c>
      <c r="L46" s="7" t="s">
        <v>263</v>
      </c>
      <c r="M46" s="7" t="s">
        <v>264</v>
      </c>
      <c r="N46" s="8">
        <v>30200</v>
      </c>
      <c r="O46" s="7">
        <v>43</v>
      </c>
    </row>
    <row r="47" spans="2:15" x14ac:dyDescent="0.2">
      <c r="B47" s="6">
        <v>46</v>
      </c>
      <c r="C47" s="7" t="s">
        <v>265</v>
      </c>
      <c r="D47" s="7" t="s">
        <v>266</v>
      </c>
      <c r="E47" s="7" t="s">
        <v>179</v>
      </c>
      <c r="F47" s="7" t="s">
        <v>52</v>
      </c>
      <c r="G47" s="7" t="s">
        <v>267</v>
      </c>
      <c r="H47" s="7" t="s">
        <v>268</v>
      </c>
      <c r="I47" s="7" t="s">
        <v>266</v>
      </c>
      <c r="J47" s="7" t="s">
        <v>65</v>
      </c>
      <c r="K47" s="7" t="s">
        <v>56</v>
      </c>
      <c r="L47" s="7" t="s">
        <v>269</v>
      </c>
      <c r="M47" s="7" t="s">
        <v>270</v>
      </c>
      <c r="N47" s="8">
        <v>29700</v>
      </c>
      <c r="O47" s="7">
        <v>87</v>
      </c>
    </row>
    <row r="48" spans="2:15" x14ac:dyDescent="0.2">
      <c r="B48" s="6">
        <v>48</v>
      </c>
      <c r="C48" s="7" t="s">
        <v>271</v>
      </c>
      <c r="D48" s="7" t="s">
        <v>79</v>
      </c>
      <c r="E48" s="7" t="s">
        <v>61</v>
      </c>
      <c r="F48" s="7" t="s">
        <v>62</v>
      </c>
      <c r="G48" s="7" t="s">
        <v>272</v>
      </c>
      <c r="H48" s="7" t="s">
        <v>273</v>
      </c>
      <c r="I48" s="7" t="s">
        <v>79</v>
      </c>
      <c r="J48" s="7" t="s">
        <v>65</v>
      </c>
      <c r="K48" s="7" t="s">
        <v>56</v>
      </c>
      <c r="L48" s="7" t="s">
        <v>274</v>
      </c>
      <c r="M48" s="7" t="s">
        <v>72</v>
      </c>
      <c r="N48" s="8">
        <v>28500</v>
      </c>
      <c r="O48" s="7">
        <v>64</v>
      </c>
    </row>
    <row r="49" spans="2:15" x14ac:dyDescent="0.2">
      <c r="B49" s="6">
        <v>49</v>
      </c>
      <c r="C49" s="7" t="s">
        <v>275</v>
      </c>
      <c r="D49" s="7" t="s">
        <v>79</v>
      </c>
      <c r="E49" s="7" t="s">
        <v>61</v>
      </c>
      <c r="F49" s="7" t="s">
        <v>62</v>
      </c>
      <c r="G49" s="7" t="s">
        <v>276</v>
      </c>
      <c r="H49" s="7" t="s">
        <v>222</v>
      </c>
      <c r="I49" s="7" t="s">
        <v>79</v>
      </c>
      <c r="J49" s="7" t="s">
        <v>65</v>
      </c>
      <c r="K49" s="7" t="s">
        <v>56</v>
      </c>
      <c r="L49" s="7" t="s">
        <v>277</v>
      </c>
      <c r="M49" s="7" t="s">
        <v>151</v>
      </c>
      <c r="N49" s="8">
        <v>28100</v>
      </c>
      <c r="O49" s="7">
        <v>84</v>
      </c>
    </row>
    <row r="50" spans="2:15" x14ac:dyDescent="0.2">
      <c r="B50" s="6">
        <v>50</v>
      </c>
      <c r="C50" s="7" t="s">
        <v>278</v>
      </c>
      <c r="D50" s="7" t="s">
        <v>79</v>
      </c>
      <c r="E50" s="7" t="s">
        <v>61</v>
      </c>
      <c r="F50" s="7" t="s">
        <v>62</v>
      </c>
      <c r="G50" s="7" t="s">
        <v>90</v>
      </c>
      <c r="H50" s="7" t="s">
        <v>279</v>
      </c>
      <c r="I50" s="7" t="s">
        <v>79</v>
      </c>
      <c r="J50" s="7" t="s">
        <v>65</v>
      </c>
      <c r="K50" s="7" t="s">
        <v>56</v>
      </c>
      <c r="L50" s="7" t="s">
        <v>280</v>
      </c>
      <c r="M50" s="7" t="s">
        <v>281</v>
      </c>
      <c r="N50" s="8">
        <v>27800</v>
      </c>
      <c r="O50" s="7">
        <v>76</v>
      </c>
    </row>
    <row r="51" spans="2:15" x14ac:dyDescent="0.2">
      <c r="B51" s="6">
        <v>51</v>
      </c>
      <c r="C51" s="7" t="s">
        <v>282</v>
      </c>
      <c r="D51" s="7" t="s">
        <v>60</v>
      </c>
      <c r="E51" s="7" t="s">
        <v>179</v>
      </c>
      <c r="F51" s="7" t="s">
        <v>52</v>
      </c>
      <c r="G51" s="7" t="s">
        <v>283</v>
      </c>
      <c r="H51" s="7" t="s">
        <v>284</v>
      </c>
      <c r="I51" s="7" t="s">
        <v>60</v>
      </c>
      <c r="J51" s="7" t="s">
        <v>55</v>
      </c>
      <c r="K51" s="7" t="s">
        <v>113</v>
      </c>
      <c r="L51" s="7" t="s">
        <v>285</v>
      </c>
      <c r="M51" s="7" t="s">
        <v>286</v>
      </c>
      <c r="N51" s="8">
        <v>27400</v>
      </c>
      <c r="O51" s="7">
        <v>60</v>
      </c>
    </row>
    <row r="52" spans="2:15" x14ac:dyDescent="0.2">
      <c r="B52" s="6">
        <v>52</v>
      </c>
      <c r="C52" s="7" t="s">
        <v>287</v>
      </c>
      <c r="D52" s="7" t="s">
        <v>288</v>
      </c>
      <c r="E52" s="7" t="s">
        <v>19</v>
      </c>
      <c r="F52" s="7" t="s">
        <v>103</v>
      </c>
      <c r="G52" s="7" t="s">
        <v>289</v>
      </c>
      <c r="H52" s="7" t="s">
        <v>290</v>
      </c>
      <c r="I52" s="7" t="s">
        <v>288</v>
      </c>
      <c r="J52" s="7" t="s">
        <v>55</v>
      </c>
      <c r="K52" s="7" t="s">
        <v>113</v>
      </c>
      <c r="L52" s="7" t="s">
        <v>291</v>
      </c>
      <c r="M52" s="7" t="s">
        <v>292</v>
      </c>
      <c r="N52" s="8">
        <v>27000</v>
      </c>
      <c r="O52" s="7">
        <v>69</v>
      </c>
    </row>
    <row r="53" spans="2:15" x14ac:dyDescent="0.2">
      <c r="B53" s="6">
        <v>53</v>
      </c>
      <c r="C53" s="7" t="s">
        <v>293</v>
      </c>
      <c r="D53" s="7" t="s">
        <v>69</v>
      </c>
      <c r="E53" s="7" t="s">
        <v>132</v>
      </c>
      <c r="F53" s="7" t="s">
        <v>103</v>
      </c>
      <c r="G53" s="7" t="s">
        <v>133</v>
      </c>
      <c r="H53" s="7" t="s">
        <v>294</v>
      </c>
      <c r="I53" s="7" t="s">
        <v>69</v>
      </c>
      <c r="J53" s="7" t="s">
        <v>65</v>
      </c>
      <c r="K53" s="7" t="s">
        <v>56</v>
      </c>
      <c r="L53" s="7" t="s">
        <v>295</v>
      </c>
      <c r="M53" s="7" t="s">
        <v>296</v>
      </c>
      <c r="N53" s="8">
        <v>26700</v>
      </c>
      <c r="O53" s="7">
        <v>51</v>
      </c>
    </row>
    <row r="54" spans="2:15" x14ac:dyDescent="0.2">
      <c r="B54" s="6">
        <v>54</v>
      </c>
      <c r="C54" s="7" t="s">
        <v>297</v>
      </c>
      <c r="D54" s="7" t="s">
        <v>288</v>
      </c>
      <c r="E54" s="7" t="s">
        <v>96</v>
      </c>
      <c r="F54" s="7" t="s">
        <v>62</v>
      </c>
      <c r="G54" s="7" t="s">
        <v>97</v>
      </c>
      <c r="H54" s="7" t="s">
        <v>290</v>
      </c>
      <c r="I54" s="7" t="s">
        <v>288</v>
      </c>
      <c r="J54" s="7" t="s">
        <v>55</v>
      </c>
      <c r="K54" s="7" t="s">
        <v>56</v>
      </c>
      <c r="L54" s="7" t="s">
        <v>298</v>
      </c>
      <c r="M54" s="7" t="s">
        <v>299</v>
      </c>
      <c r="N54" s="8">
        <v>26600</v>
      </c>
      <c r="O54" s="7">
        <v>69</v>
      </c>
    </row>
    <row r="55" spans="2:15" x14ac:dyDescent="0.2">
      <c r="B55" s="6">
        <v>55</v>
      </c>
      <c r="C55" s="7" t="s">
        <v>300</v>
      </c>
      <c r="D55" s="7" t="s">
        <v>69</v>
      </c>
      <c r="E55" s="7" t="s">
        <v>102</v>
      </c>
      <c r="F55" s="7" t="s">
        <v>103</v>
      </c>
      <c r="G55" s="7" t="s">
        <v>301</v>
      </c>
      <c r="H55" s="7" t="s">
        <v>302</v>
      </c>
      <c r="I55" s="7" t="s">
        <v>69</v>
      </c>
      <c r="J55" s="7" t="s">
        <v>65</v>
      </c>
      <c r="K55" s="7" t="s">
        <v>56</v>
      </c>
      <c r="L55" s="7" t="s">
        <v>303</v>
      </c>
      <c r="M55" s="7" t="s">
        <v>304</v>
      </c>
      <c r="N55" s="8">
        <v>25600</v>
      </c>
      <c r="O55" s="7">
        <v>77</v>
      </c>
    </row>
    <row r="56" spans="2:15" x14ac:dyDescent="0.2">
      <c r="B56" s="6">
        <v>56</v>
      </c>
      <c r="C56" s="7" t="s">
        <v>305</v>
      </c>
      <c r="D56" s="7" t="s">
        <v>306</v>
      </c>
      <c r="E56" s="7" t="s">
        <v>307</v>
      </c>
      <c r="F56" s="7" t="s">
        <v>103</v>
      </c>
      <c r="G56" s="7" t="s">
        <v>308</v>
      </c>
      <c r="H56" s="7" t="s">
        <v>309</v>
      </c>
      <c r="I56" s="7" t="s">
        <v>306</v>
      </c>
      <c r="J56" s="7" t="s">
        <v>65</v>
      </c>
      <c r="K56" s="7" t="s">
        <v>56</v>
      </c>
      <c r="L56" s="7" t="s">
        <v>310</v>
      </c>
      <c r="M56" s="7" t="s">
        <v>311</v>
      </c>
      <c r="N56" s="8">
        <v>25500</v>
      </c>
      <c r="O56" s="7">
        <v>74</v>
      </c>
    </row>
    <row r="57" spans="2:15" x14ac:dyDescent="0.2">
      <c r="B57" s="6">
        <v>57</v>
      </c>
      <c r="C57" s="7" t="s">
        <v>312</v>
      </c>
      <c r="D57" s="7" t="s">
        <v>79</v>
      </c>
      <c r="E57" s="7" t="s">
        <v>61</v>
      </c>
      <c r="F57" s="7" t="s">
        <v>62</v>
      </c>
      <c r="G57" s="7" t="s">
        <v>313</v>
      </c>
      <c r="H57" s="7" t="s">
        <v>314</v>
      </c>
      <c r="I57" s="7" t="s">
        <v>79</v>
      </c>
      <c r="J57" s="7" t="s">
        <v>65</v>
      </c>
      <c r="K57" s="7" t="s">
        <v>56</v>
      </c>
      <c r="L57" s="7" t="s">
        <v>315</v>
      </c>
      <c r="M57" s="7" t="s">
        <v>316</v>
      </c>
      <c r="N57" s="8">
        <v>25300</v>
      </c>
      <c r="O57" s="7">
        <v>78</v>
      </c>
    </row>
    <row r="58" spans="2:15" x14ac:dyDescent="0.2">
      <c r="B58" s="6">
        <v>58</v>
      </c>
      <c r="C58" s="7" t="s">
        <v>317</v>
      </c>
      <c r="D58" s="7" t="s">
        <v>288</v>
      </c>
      <c r="E58" s="7" t="s">
        <v>318</v>
      </c>
      <c r="F58" s="7" t="s">
        <v>52</v>
      </c>
      <c r="G58" s="7" t="s">
        <v>319</v>
      </c>
      <c r="H58" s="7" t="s">
        <v>320</v>
      </c>
      <c r="I58" s="7" t="s">
        <v>288</v>
      </c>
      <c r="J58" s="7" t="s">
        <v>65</v>
      </c>
      <c r="K58" s="7" t="s">
        <v>56</v>
      </c>
      <c r="L58" s="7" t="s">
        <v>321</v>
      </c>
      <c r="M58" s="7" t="s">
        <v>322</v>
      </c>
      <c r="N58" s="8">
        <v>25200</v>
      </c>
      <c r="O58" s="7">
        <v>51</v>
      </c>
    </row>
    <row r="59" spans="2:15" x14ac:dyDescent="0.2">
      <c r="B59" s="6">
        <v>59</v>
      </c>
      <c r="C59" s="7" t="s">
        <v>323</v>
      </c>
      <c r="D59" s="7" t="s">
        <v>60</v>
      </c>
      <c r="E59" s="7" t="s">
        <v>179</v>
      </c>
      <c r="F59" s="7" t="s">
        <v>52</v>
      </c>
      <c r="G59" s="7" t="s">
        <v>324</v>
      </c>
      <c r="H59" s="7" t="s">
        <v>325</v>
      </c>
      <c r="I59" s="7" t="s">
        <v>60</v>
      </c>
      <c r="J59" s="7" t="s">
        <v>55</v>
      </c>
      <c r="K59" s="7" t="s">
        <v>56</v>
      </c>
      <c r="L59" s="7" t="s">
        <v>326</v>
      </c>
      <c r="M59" s="7" t="s">
        <v>327</v>
      </c>
      <c r="N59" s="8">
        <v>24600</v>
      </c>
      <c r="O59" s="7">
        <v>56</v>
      </c>
    </row>
    <row r="60" spans="2:15" x14ac:dyDescent="0.2">
      <c r="B60" s="6">
        <v>60</v>
      </c>
      <c r="C60" s="7" t="s">
        <v>328</v>
      </c>
      <c r="D60" s="7" t="s">
        <v>69</v>
      </c>
      <c r="E60" s="7" t="s">
        <v>61</v>
      </c>
      <c r="F60" s="7" t="s">
        <v>62</v>
      </c>
      <c r="G60" s="7" t="s">
        <v>329</v>
      </c>
      <c r="H60" s="7" t="s">
        <v>0</v>
      </c>
      <c r="I60" s="7" t="s">
        <v>69</v>
      </c>
      <c r="J60" s="7" t="s">
        <v>55</v>
      </c>
      <c r="K60" s="7" t="s">
        <v>113</v>
      </c>
      <c r="L60" s="7" t="s">
        <v>330</v>
      </c>
      <c r="M60" s="7" t="s">
        <v>331</v>
      </c>
      <c r="N60" s="8">
        <v>24400</v>
      </c>
      <c r="O60" s="7">
        <v>52</v>
      </c>
    </row>
    <row r="61" spans="2:15" x14ac:dyDescent="0.2">
      <c r="B61" s="6">
        <v>61</v>
      </c>
      <c r="C61" s="7" t="s">
        <v>332</v>
      </c>
      <c r="D61" s="7" t="s">
        <v>79</v>
      </c>
      <c r="E61" s="7" t="s">
        <v>307</v>
      </c>
      <c r="F61" s="7" t="s">
        <v>103</v>
      </c>
      <c r="G61" s="7" t="s">
        <v>333</v>
      </c>
      <c r="H61" s="7" t="s">
        <v>334</v>
      </c>
      <c r="I61" s="7" t="s">
        <v>79</v>
      </c>
      <c r="J61" s="7" t="s">
        <v>55</v>
      </c>
      <c r="K61" s="7" t="s">
        <v>56</v>
      </c>
      <c r="L61" s="7" t="s">
        <v>335</v>
      </c>
      <c r="M61" s="7" t="s">
        <v>336</v>
      </c>
      <c r="N61" s="8">
        <v>24200</v>
      </c>
      <c r="O61" s="7">
        <v>82</v>
      </c>
    </row>
    <row r="62" spans="2:15" x14ac:dyDescent="0.2">
      <c r="B62" s="6">
        <v>62</v>
      </c>
      <c r="C62" s="7" t="s">
        <v>337</v>
      </c>
      <c r="D62" s="7" t="s">
        <v>288</v>
      </c>
      <c r="E62" s="7" t="s">
        <v>338</v>
      </c>
      <c r="F62" s="7" t="s">
        <v>52</v>
      </c>
      <c r="G62" s="7" t="s">
        <v>339</v>
      </c>
      <c r="H62" s="7" t="s">
        <v>340</v>
      </c>
      <c r="I62" s="7" t="s">
        <v>288</v>
      </c>
      <c r="J62" s="7" t="s">
        <v>65</v>
      </c>
      <c r="K62" s="7" t="s">
        <v>56</v>
      </c>
      <c r="L62" s="7" t="s">
        <v>341</v>
      </c>
      <c r="M62" s="7" t="s">
        <v>342</v>
      </c>
      <c r="N62" s="8">
        <v>23700</v>
      </c>
      <c r="O62" s="7">
        <v>62</v>
      </c>
    </row>
    <row r="63" spans="2:15" x14ac:dyDescent="0.2">
      <c r="B63" s="6">
        <v>63</v>
      </c>
      <c r="C63" s="7" t="s">
        <v>343</v>
      </c>
      <c r="D63" s="7" t="s">
        <v>69</v>
      </c>
      <c r="E63" s="7" t="s">
        <v>132</v>
      </c>
      <c r="F63" s="7" t="s">
        <v>103</v>
      </c>
      <c r="G63" s="7" t="s">
        <v>133</v>
      </c>
      <c r="H63" s="7" t="s">
        <v>262</v>
      </c>
      <c r="I63" s="7" t="s">
        <v>69</v>
      </c>
      <c r="J63" s="7" t="s">
        <v>65</v>
      </c>
      <c r="K63" s="7" t="s">
        <v>56</v>
      </c>
      <c r="L63" s="7" t="s">
        <v>212</v>
      </c>
      <c r="M63" s="7" t="s">
        <v>344</v>
      </c>
      <c r="N63" s="8">
        <v>23500</v>
      </c>
      <c r="O63" s="7">
        <v>58</v>
      </c>
    </row>
    <row r="64" spans="2:15" x14ac:dyDescent="0.2">
      <c r="B64" s="6">
        <v>64</v>
      </c>
      <c r="C64" s="7" t="s">
        <v>345</v>
      </c>
      <c r="D64" s="7" t="s">
        <v>266</v>
      </c>
      <c r="E64" s="7" t="s">
        <v>132</v>
      </c>
      <c r="F64" s="7" t="s">
        <v>103</v>
      </c>
      <c r="G64" s="7" t="s">
        <v>346</v>
      </c>
      <c r="H64" s="7" t="s">
        <v>347</v>
      </c>
      <c r="I64" s="7" t="s">
        <v>266</v>
      </c>
      <c r="J64" s="7" t="s">
        <v>65</v>
      </c>
      <c r="K64" s="7" t="s">
        <v>56</v>
      </c>
      <c r="L64" s="7" t="s">
        <v>348</v>
      </c>
      <c r="M64" s="7" t="s">
        <v>349</v>
      </c>
      <c r="N64" s="8">
        <v>23400</v>
      </c>
      <c r="O64" s="7">
        <v>80</v>
      </c>
    </row>
    <row r="65" spans="2:15" x14ac:dyDescent="0.2">
      <c r="B65" s="6">
        <v>65</v>
      </c>
      <c r="C65" s="7" t="s">
        <v>350</v>
      </c>
      <c r="D65" s="7" t="s">
        <v>288</v>
      </c>
      <c r="E65" s="7" t="s">
        <v>351</v>
      </c>
      <c r="F65" s="7" t="s">
        <v>352</v>
      </c>
      <c r="G65" s="7" t="s">
        <v>353</v>
      </c>
      <c r="H65" s="7" t="s">
        <v>290</v>
      </c>
      <c r="I65" s="7" t="s">
        <v>288</v>
      </c>
      <c r="J65" s="7" t="s">
        <v>55</v>
      </c>
      <c r="K65" s="7" t="s">
        <v>113</v>
      </c>
      <c r="L65" s="7" t="s">
        <v>354</v>
      </c>
      <c r="M65" s="7" t="s">
        <v>355</v>
      </c>
      <c r="N65" s="8">
        <v>23100</v>
      </c>
      <c r="O65" s="7">
        <v>80</v>
      </c>
    </row>
    <row r="66" spans="2:15" x14ac:dyDescent="0.2">
      <c r="B66" s="6">
        <v>65</v>
      </c>
      <c r="C66" s="7" t="s">
        <v>356</v>
      </c>
      <c r="D66" s="7" t="s">
        <v>266</v>
      </c>
      <c r="E66" s="7" t="s">
        <v>307</v>
      </c>
      <c r="F66" s="7" t="s">
        <v>103</v>
      </c>
      <c r="G66" s="7" t="s">
        <v>333</v>
      </c>
      <c r="H66" s="7" t="s">
        <v>334</v>
      </c>
      <c r="I66" s="7" t="s">
        <v>266</v>
      </c>
      <c r="J66" s="7" t="s">
        <v>55</v>
      </c>
      <c r="K66" s="7" t="s">
        <v>56</v>
      </c>
      <c r="L66" s="7" t="s">
        <v>335</v>
      </c>
      <c r="M66" s="7" t="s">
        <v>93</v>
      </c>
      <c r="N66" s="8">
        <v>23100</v>
      </c>
      <c r="O66" s="7">
        <v>83</v>
      </c>
    </row>
    <row r="67" spans="2:15" x14ac:dyDescent="0.2">
      <c r="B67" s="6">
        <v>67</v>
      </c>
      <c r="C67" s="7" t="s">
        <v>357</v>
      </c>
      <c r="D67" s="7" t="s">
        <v>266</v>
      </c>
      <c r="E67" s="7" t="s">
        <v>242</v>
      </c>
      <c r="F67" s="7" t="s">
        <v>52</v>
      </c>
      <c r="G67" s="7" t="s">
        <v>243</v>
      </c>
      <c r="H67" s="7" t="s">
        <v>358</v>
      </c>
      <c r="I67" s="7" t="s">
        <v>266</v>
      </c>
      <c r="J67" s="7" t="s">
        <v>65</v>
      </c>
      <c r="K67" s="7" t="s">
        <v>56</v>
      </c>
      <c r="L67" s="7" t="s">
        <v>359</v>
      </c>
      <c r="M67" s="7" t="s">
        <v>360</v>
      </c>
      <c r="N67" s="8">
        <v>22900</v>
      </c>
      <c r="O67" s="7">
        <v>70</v>
      </c>
    </row>
    <row r="68" spans="2:15" x14ac:dyDescent="0.2">
      <c r="B68" s="6">
        <v>68</v>
      </c>
      <c r="C68" s="7" t="s">
        <v>361</v>
      </c>
      <c r="D68" s="7" t="s">
        <v>362</v>
      </c>
      <c r="E68" s="7" t="s">
        <v>102</v>
      </c>
      <c r="F68" s="7" t="s">
        <v>103</v>
      </c>
      <c r="G68" s="7" t="s">
        <v>363</v>
      </c>
      <c r="H68" s="7" t="s">
        <v>364</v>
      </c>
      <c r="I68" s="7" t="s">
        <v>362</v>
      </c>
      <c r="J68" s="7" t="s">
        <v>55</v>
      </c>
      <c r="K68" s="7" t="s">
        <v>56</v>
      </c>
      <c r="L68" s="7" t="s">
        <v>365</v>
      </c>
      <c r="M68" s="7" t="s">
        <v>366</v>
      </c>
      <c r="N68" s="8">
        <v>22600</v>
      </c>
      <c r="O68" s="7">
        <v>81</v>
      </c>
    </row>
    <row r="69" spans="2:15" x14ac:dyDescent="0.2">
      <c r="B69" s="6">
        <v>69</v>
      </c>
      <c r="C69" s="7" t="s">
        <v>367</v>
      </c>
      <c r="D69" s="7" t="s">
        <v>95</v>
      </c>
      <c r="E69" s="7" t="s">
        <v>236</v>
      </c>
      <c r="F69" s="7" t="s">
        <v>103</v>
      </c>
      <c r="G69" s="7" t="s">
        <v>237</v>
      </c>
      <c r="H69" s="7" t="s">
        <v>368</v>
      </c>
      <c r="I69" s="7" t="s">
        <v>95</v>
      </c>
      <c r="J69" s="7" t="s">
        <v>65</v>
      </c>
      <c r="K69" s="7" t="s">
        <v>56</v>
      </c>
      <c r="L69" s="7" t="s">
        <v>369</v>
      </c>
      <c r="M69" s="7" t="s">
        <v>370</v>
      </c>
      <c r="N69" s="8">
        <v>22400</v>
      </c>
      <c r="O69" s="7">
        <v>65</v>
      </c>
    </row>
    <row r="70" spans="2:15" x14ac:dyDescent="0.2">
      <c r="B70" s="6">
        <v>70</v>
      </c>
      <c r="C70" s="7" t="s">
        <v>371</v>
      </c>
      <c r="D70" s="7" t="s">
        <v>288</v>
      </c>
      <c r="E70" s="7" t="s">
        <v>338</v>
      </c>
      <c r="F70" s="7" t="s">
        <v>52</v>
      </c>
      <c r="G70" s="7" t="s">
        <v>339</v>
      </c>
      <c r="H70" s="7" t="s">
        <v>372</v>
      </c>
      <c r="I70" s="7" t="s">
        <v>288</v>
      </c>
      <c r="J70" s="7" t="s">
        <v>65</v>
      </c>
      <c r="K70" s="7" t="s">
        <v>56</v>
      </c>
      <c r="L70" s="7" t="s">
        <v>373</v>
      </c>
      <c r="M70" s="7" t="s">
        <v>342</v>
      </c>
      <c r="N70" s="8">
        <v>22100</v>
      </c>
      <c r="O70" s="7">
        <v>66</v>
      </c>
    </row>
    <row r="71" spans="2:15" x14ac:dyDescent="0.2">
      <c r="B71" s="6">
        <v>71</v>
      </c>
      <c r="C71" s="7" t="s">
        <v>374</v>
      </c>
      <c r="D71" s="7" t="s">
        <v>131</v>
      </c>
      <c r="E71" s="7" t="s">
        <v>51</v>
      </c>
      <c r="F71" s="7" t="s">
        <v>52</v>
      </c>
      <c r="G71" s="7" t="s">
        <v>375</v>
      </c>
      <c r="H71" s="7" t="s">
        <v>376</v>
      </c>
      <c r="I71" s="7" t="s">
        <v>131</v>
      </c>
      <c r="J71" s="7" t="s">
        <v>55</v>
      </c>
      <c r="K71" s="7" t="s">
        <v>56</v>
      </c>
      <c r="L71" s="7" t="s">
        <v>377</v>
      </c>
      <c r="M71" s="7" t="s">
        <v>378</v>
      </c>
      <c r="N71" s="8">
        <v>22000</v>
      </c>
      <c r="O71" s="7">
        <v>52</v>
      </c>
    </row>
    <row r="72" spans="2:15" x14ac:dyDescent="0.2">
      <c r="B72" s="6">
        <v>72</v>
      </c>
      <c r="C72" s="7" t="s">
        <v>379</v>
      </c>
      <c r="D72" s="7" t="s">
        <v>79</v>
      </c>
      <c r="E72" s="7" t="s">
        <v>61</v>
      </c>
      <c r="F72" s="7" t="s">
        <v>62</v>
      </c>
      <c r="G72" s="7" t="s">
        <v>380</v>
      </c>
      <c r="H72" s="7" t="s">
        <v>381</v>
      </c>
      <c r="I72" s="7" t="s">
        <v>79</v>
      </c>
      <c r="J72" s="7" t="s">
        <v>55</v>
      </c>
      <c r="K72" s="7" t="s">
        <v>113</v>
      </c>
      <c r="L72" s="7" t="s">
        <v>382</v>
      </c>
      <c r="M72" s="7" t="s">
        <v>383</v>
      </c>
      <c r="N72" s="8">
        <v>21600</v>
      </c>
      <c r="O72" s="7">
        <v>61</v>
      </c>
    </row>
    <row r="73" spans="2:15" x14ac:dyDescent="0.2">
      <c r="B73" s="6">
        <v>72</v>
      </c>
      <c r="C73" s="7" t="s">
        <v>384</v>
      </c>
      <c r="D73" s="7" t="s">
        <v>306</v>
      </c>
      <c r="E73" s="7" t="s">
        <v>338</v>
      </c>
      <c r="F73" s="7" t="s">
        <v>52</v>
      </c>
      <c r="G73" s="7" t="s">
        <v>339</v>
      </c>
      <c r="H73" s="7" t="s">
        <v>385</v>
      </c>
      <c r="I73" s="7" t="s">
        <v>306</v>
      </c>
      <c r="J73" s="7" t="s">
        <v>65</v>
      </c>
      <c r="K73" s="7" t="s">
        <v>56</v>
      </c>
      <c r="L73" s="7" t="s">
        <v>386</v>
      </c>
      <c r="M73" s="7" t="s">
        <v>387</v>
      </c>
      <c r="N73" s="8">
        <v>21600</v>
      </c>
      <c r="O73" s="7">
        <v>67</v>
      </c>
    </row>
    <row r="74" spans="2:15" x14ac:dyDescent="0.2">
      <c r="B74" s="6">
        <v>74</v>
      </c>
      <c r="C74" s="7" t="s">
        <v>388</v>
      </c>
      <c r="D74" s="7" t="s">
        <v>50</v>
      </c>
      <c r="E74" s="7" t="s">
        <v>61</v>
      </c>
      <c r="F74" s="7" t="s">
        <v>62</v>
      </c>
      <c r="G74" s="7" t="s">
        <v>389</v>
      </c>
      <c r="H74" s="7" t="s">
        <v>8</v>
      </c>
      <c r="I74" s="7" t="s">
        <v>50</v>
      </c>
      <c r="J74" s="7" t="s">
        <v>55</v>
      </c>
      <c r="K74" s="7" t="s">
        <v>56</v>
      </c>
      <c r="L74" s="7" t="s">
        <v>150</v>
      </c>
      <c r="M74" s="7" t="s">
        <v>390</v>
      </c>
      <c r="N74" s="8">
        <v>21200</v>
      </c>
      <c r="O74" s="7">
        <v>36</v>
      </c>
    </row>
    <row r="75" spans="2:15" x14ac:dyDescent="0.2">
      <c r="B75" s="6">
        <v>74</v>
      </c>
      <c r="C75" s="7" t="s">
        <v>391</v>
      </c>
      <c r="D75" s="7" t="s">
        <v>392</v>
      </c>
      <c r="E75" s="7" t="s">
        <v>132</v>
      </c>
      <c r="F75" s="7" t="s">
        <v>103</v>
      </c>
      <c r="G75" s="7" t="s">
        <v>210</v>
      </c>
      <c r="H75" s="7" t="s">
        <v>393</v>
      </c>
      <c r="I75" s="7" t="s">
        <v>392</v>
      </c>
      <c r="J75" s="7" t="s">
        <v>65</v>
      </c>
      <c r="K75" s="7" t="s">
        <v>56</v>
      </c>
      <c r="L75" s="7" t="s">
        <v>394</v>
      </c>
      <c r="M75" s="7" t="s">
        <v>395</v>
      </c>
      <c r="N75" s="8">
        <v>21200</v>
      </c>
      <c r="O75" s="7">
        <v>52</v>
      </c>
    </row>
    <row r="76" spans="2:15" x14ac:dyDescent="0.2">
      <c r="B76" s="6">
        <v>76</v>
      </c>
      <c r="C76" s="7" t="s">
        <v>396</v>
      </c>
      <c r="D76" s="7" t="s">
        <v>69</v>
      </c>
      <c r="E76" s="7" t="s">
        <v>61</v>
      </c>
      <c r="F76" s="7" t="s">
        <v>62</v>
      </c>
      <c r="G76" s="7" t="s">
        <v>127</v>
      </c>
      <c r="H76" s="7" t="s">
        <v>397</v>
      </c>
      <c r="I76" s="7" t="s">
        <v>69</v>
      </c>
      <c r="J76" s="7" t="s">
        <v>65</v>
      </c>
      <c r="K76" s="7" t="s">
        <v>56</v>
      </c>
      <c r="L76" s="7" t="s">
        <v>263</v>
      </c>
      <c r="M76" s="7" t="s">
        <v>398</v>
      </c>
      <c r="N76" s="8">
        <v>21100</v>
      </c>
      <c r="O76" s="7">
        <v>60</v>
      </c>
    </row>
    <row r="77" spans="2:15" x14ac:dyDescent="0.2">
      <c r="B77" s="6">
        <v>77</v>
      </c>
      <c r="C77" s="7" t="s">
        <v>399</v>
      </c>
      <c r="D77" s="7" t="s">
        <v>50</v>
      </c>
      <c r="E77" s="7" t="s">
        <v>61</v>
      </c>
      <c r="F77" s="7" t="s">
        <v>62</v>
      </c>
      <c r="G77" s="7" t="s">
        <v>90</v>
      </c>
      <c r="H77" s="7" t="s">
        <v>400</v>
      </c>
      <c r="I77" s="7" t="s">
        <v>50</v>
      </c>
      <c r="J77" s="7" t="s">
        <v>55</v>
      </c>
      <c r="K77" s="7" t="s">
        <v>56</v>
      </c>
      <c r="L77" s="7" t="s">
        <v>401</v>
      </c>
      <c r="M77" s="7" t="s">
        <v>402</v>
      </c>
      <c r="N77" s="8">
        <v>21000</v>
      </c>
      <c r="O77" s="7">
        <v>90</v>
      </c>
    </row>
    <row r="78" spans="2:15" x14ac:dyDescent="0.2">
      <c r="B78" s="6">
        <v>77</v>
      </c>
      <c r="C78" s="7" t="s">
        <v>403</v>
      </c>
      <c r="D78" s="7" t="s">
        <v>266</v>
      </c>
      <c r="E78" s="7" t="s">
        <v>236</v>
      </c>
      <c r="F78" s="7" t="s">
        <v>103</v>
      </c>
      <c r="G78" s="7" t="s">
        <v>404</v>
      </c>
      <c r="H78" s="7" t="s">
        <v>405</v>
      </c>
      <c r="I78" s="7" t="s">
        <v>266</v>
      </c>
      <c r="J78" s="7" t="s">
        <v>65</v>
      </c>
      <c r="K78" s="7" t="s">
        <v>56</v>
      </c>
      <c r="L78" s="7" t="s">
        <v>406</v>
      </c>
      <c r="M78" s="7" t="s">
        <v>407</v>
      </c>
      <c r="N78" s="8">
        <v>21000</v>
      </c>
      <c r="O78" s="7">
        <v>77</v>
      </c>
    </row>
    <row r="79" spans="2:15" x14ac:dyDescent="0.2">
      <c r="B79" s="6">
        <v>79</v>
      </c>
      <c r="C79" s="7" t="s">
        <v>408</v>
      </c>
      <c r="D79" s="7" t="s">
        <v>288</v>
      </c>
      <c r="E79" s="7" t="s">
        <v>338</v>
      </c>
      <c r="F79" s="7" t="s">
        <v>52</v>
      </c>
      <c r="G79" s="7" t="s">
        <v>339</v>
      </c>
      <c r="H79" s="7" t="s">
        <v>409</v>
      </c>
      <c r="I79" s="7" t="s">
        <v>288</v>
      </c>
      <c r="J79" s="7" t="s">
        <v>65</v>
      </c>
      <c r="K79" s="7" t="s">
        <v>56</v>
      </c>
      <c r="L79" s="7" t="s">
        <v>410</v>
      </c>
      <c r="M79" s="7" t="s">
        <v>411</v>
      </c>
      <c r="N79" s="8">
        <v>20900</v>
      </c>
      <c r="O79" s="7">
        <v>57</v>
      </c>
    </row>
    <row r="80" spans="2:15" x14ac:dyDescent="0.2">
      <c r="B80" s="6">
        <v>80</v>
      </c>
      <c r="C80" s="7" t="s">
        <v>412</v>
      </c>
      <c r="D80" s="7" t="s">
        <v>306</v>
      </c>
      <c r="E80" s="7" t="s">
        <v>338</v>
      </c>
      <c r="F80" s="7" t="s">
        <v>52</v>
      </c>
      <c r="G80" s="7" t="s">
        <v>339</v>
      </c>
      <c r="H80" s="7" t="s">
        <v>413</v>
      </c>
      <c r="I80" s="7" t="s">
        <v>306</v>
      </c>
      <c r="J80" s="7" t="s">
        <v>65</v>
      </c>
      <c r="K80" s="7" t="s">
        <v>56</v>
      </c>
      <c r="L80" s="7" t="s">
        <v>414</v>
      </c>
      <c r="M80" s="7" t="s">
        <v>415</v>
      </c>
      <c r="N80" s="8">
        <v>20500</v>
      </c>
      <c r="O80" s="7">
        <v>72</v>
      </c>
    </row>
    <row r="81" spans="2:15" x14ac:dyDescent="0.2">
      <c r="B81" s="6">
        <v>81</v>
      </c>
      <c r="C81" s="7" t="s">
        <v>416</v>
      </c>
      <c r="D81" s="7" t="s">
        <v>362</v>
      </c>
      <c r="E81" s="7" t="s">
        <v>61</v>
      </c>
      <c r="F81" s="7" t="s">
        <v>62</v>
      </c>
      <c r="G81" s="7" t="s">
        <v>417</v>
      </c>
      <c r="H81" s="7" t="s">
        <v>418</v>
      </c>
      <c r="I81" s="7" t="s">
        <v>362</v>
      </c>
      <c r="J81" s="7" t="s">
        <v>65</v>
      </c>
      <c r="K81" s="7" t="s">
        <v>56</v>
      </c>
      <c r="L81" s="7" t="s">
        <v>419</v>
      </c>
      <c r="M81" s="7" t="s">
        <v>316</v>
      </c>
      <c r="N81" s="8">
        <v>20200</v>
      </c>
      <c r="O81" s="7">
        <v>84</v>
      </c>
    </row>
    <row r="82" spans="2:15" x14ac:dyDescent="0.2">
      <c r="B82" s="6">
        <v>82</v>
      </c>
      <c r="C82" s="7" t="s">
        <v>420</v>
      </c>
      <c r="D82" s="7" t="s">
        <v>288</v>
      </c>
      <c r="E82" s="7" t="s">
        <v>19</v>
      </c>
      <c r="F82" s="7" t="s">
        <v>103</v>
      </c>
      <c r="G82" s="7" t="s">
        <v>289</v>
      </c>
      <c r="H82" s="7" t="s">
        <v>290</v>
      </c>
      <c r="I82" s="7" t="s">
        <v>288</v>
      </c>
      <c r="J82" s="7" t="s">
        <v>65</v>
      </c>
      <c r="K82" s="7" t="s">
        <v>56</v>
      </c>
      <c r="L82" s="7" t="s">
        <v>421</v>
      </c>
      <c r="M82" s="7" t="s">
        <v>422</v>
      </c>
      <c r="N82" s="8">
        <v>19600</v>
      </c>
      <c r="O82" s="7">
        <v>61</v>
      </c>
    </row>
    <row r="83" spans="2:15" x14ac:dyDescent="0.2">
      <c r="B83" s="6">
        <v>83</v>
      </c>
      <c r="C83" s="7" t="s">
        <v>423</v>
      </c>
      <c r="D83" s="7" t="s">
        <v>79</v>
      </c>
      <c r="E83" s="7" t="s">
        <v>61</v>
      </c>
      <c r="F83" s="7" t="s">
        <v>62</v>
      </c>
      <c r="G83" s="7" t="s">
        <v>424</v>
      </c>
      <c r="H83" s="7" t="s">
        <v>222</v>
      </c>
      <c r="I83" s="7" t="s">
        <v>79</v>
      </c>
      <c r="J83" s="7" t="s">
        <v>65</v>
      </c>
      <c r="K83" s="7" t="s">
        <v>56</v>
      </c>
      <c r="L83" s="7" t="s">
        <v>425</v>
      </c>
      <c r="M83" s="7" t="s">
        <v>426</v>
      </c>
      <c r="N83" s="8">
        <v>19100</v>
      </c>
      <c r="O83" s="7">
        <v>73</v>
      </c>
    </row>
    <row r="84" spans="2:15" x14ac:dyDescent="0.2">
      <c r="B84" s="6">
        <v>84</v>
      </c>
      <c r="C84" s="7" t="s">
        <v>427</v>
      </c>
      <c r="D84" s="7" t="s">
        <v>60</v>
      </c>
      <c r="E84" s="7" t="s">
        <v>132</v>
      </c>
      <c r="F84" s="7" t="s">
        <v>103</v>
      </c>
      <c r="G84" s="7" t="s">
        <v>133</v>
      </c>
      <c r="H84" s="7" t="s">
        <v>428</v>
      </c>
      <c r="I84" s="7" t="s">
        <v>60</v>
      </c>
      <c r="J84" s="7" t="s">
        <v>65</v>
      </c>
      <c r="K84" s="7" t="s">
        <v>56</v>
      </c>
      <c r="L84" s="7" t="s">
        <v>429</v>
      </c>
      <c r="M84" s="7" t="s">
        <v>430</v>
      </c>
      <c r="N84" s="8">
        <v>19000</v>
      </c>
      <c r="O84" s="7">
        <v>59</v>
      </c>
    </row>
    <row r="85" spans="2:15" x14ac:dyDescent="0.2">
      <c r="B85" s="6">
        <v>84</v>
      </c>
      <c r="C85" s="7" t="s">
        <v>431</v>
      </c>
      <c r="D85" s="7" t="s">
        <v>288</v>
      </c>
      <c r="E85" s="7" t="s">
        <v>132</v>
      </c>
      <c r="F85" s="7" t="s">
        <v>103</v>
      </c>
      <c r="G85" s="7" t="s">
        <v>210</v>
      </c>
      <c r="H85" s="7" t="s">
        <v>432</v>
      </c>
      <c r="I85" s="7" t="s">
        <v>288</v>
      </c>
      <c r="J85" s="7" t="s">
        <v>65</v>
      </c>
      <c r="K85" s="7" t="s">
        <v>56</v>
      </c>
      <c r="L85" s="7" t="s">
        <v>394</v>
      </c>
      <c r="M85" s="7" t="s">
        <v>433</v>
      </c>
      <c r="N85" s="8">
        <v>19000</v>
      </c>
      <c r="O85" s="7">
        <v>55</v>
      </c>
    </row>
    <row r="86" spans="2:15" x14ac:dyDescent="0.2">
      <c r="B86" s="6">
        <v>86</v>
      </c>
      <c r="C86" s="7" t="s">
        <v>434</v>
      </c>
      <c r="D86" s="7" t="s">
        <v>131</v>
      </c>
      <c r="E86" s="7" t="s">
        <v>132</v>
      </c>
      <c r="F86" s="7" t="s">
        <v>103</v>
      </c>
      <c r="G86" s="7" t="s">
        <v>435</v>
      </c>
      <c r="H86" s="7" t="s">
        <v>436</v>
      </c>
      <c r="I86" s="7" t="s">
        <v>131</v>
      </c>
      <c r="J86" s="7" t="s">
        <v>65</v>
      </c>
      <c r="K86" s="7" t="s">
        <v>56</v>
      </c>
      <c r="L86" s="7" t="s">
        <v>437</v>
      </c>
      <c r="M86" s="7" t="s">
        <v>438</v>
      </c>
      <c r="N86" s="8">
        <v>18900</v>
      </c>
      <c r="O86" s="7">
        <v>57</v>
      </c>
    </row>
    <row r="87" spans="2:15" x14ac:dyDescent="0.2">
      <c r="B87" s="6">
        <v>88</v>
      </c>
      <c r="C87" s="7" t="s">
        <v>439</v>
      </c>
      <c r="D87" s="7" t="s">
        <v>60</v>
      </c>
      <c r="E87" s="7" t="s">
        <v>132</v>
      </c>
      <c r="F87" s="7" t="s">
        <v>103</v>
      </c>
      <c r="G87" s="7" t="s">
        <v>210</v>
      </c>
      <c r="H87" s="7" t="s">
        <v>440</v>
      </c>
      <c r="I87" s="7" t="s">
        <v>60</v>
      </c>
      <c r="J87" s="7" t="s">
        <v>65</v>
      </c>
      <c r="K87" s="7" t="s">
        <v>56</v>
      </c>
      <c r="L87" s="7" t="s">
        <v>394</v>
      </c>
      <c r="M87" s="7" t="s">
        <v>441</v>
      </c>
      <c r="N87" s="8">
        <v>18700</v>
      </c>
      <c r="O87" s="7">
        <v>57</v>
      </c>
    </row>
    <row r="88" spans="2:15" x14ac:dyDescent="0.2">
      <c r="B88" s="6">
        <v>89</v>
      </c>
      <c r="C88" s="7" t="s">
        <v>442</v>
      </c>
      <c r="D88" s="7" t="s">
        <v>306</v>
      </c>
      <c r="E88" s="7" t="s">
        <v>61</v>
      </c>
      <c r="F88" s="7" t="s">
        <v>62</v>
      </c>
      <c r="G88" s="7" t="s">
        <v>443</v>
      </c>
      <c r="H88" s="7" t="s">
        <v>444</v>
      </c>
      <c r="I88" s="7" t="s">
        <v>306</v>
      </c>
      <c r="J88" s="7" t="s">
        <v>65</v>
      </c>
      <c r="K88" s="7" t="s">
        <v>56</v>
      </c>
      <c r="L88" s="7" t="s">
        <v>445</v>
      </c>
      <c r="M88" s="7" t="s">
        <v>446</v>
      </c>
      <c r="N88" s="8">
        <v>18500</v>
      </c>
      <c r="O88" s="7">
        <v>77</v>
      </c>
    </row>
    <row r="89" spans="2:15" x14ac:dyDescent="0.2">
      <c r="B89" s="6">
        <v>89</v>
      </c>
      <c r="C89" s="7" t="s">
        <v>447</v>
      </c>
      <c r="D89" s="7" t="s">
        <v>79</v>
      </c>
      <c r="E89" s="7" t="s">
        <v>61</v>
      </c>
      <c r="F89" s="7" t="s">
        <v>62</v>
      </c>
      <c r="G89" s="7" t="s">
        <v>313</v>
      </c>
      <c r="H89" s="7" t="s">
        <v>222</v>
      </c>
      <c r="I89" s="7" t="s">
        <v>79</v>
      </c>
      <c r="J89" s="7" t="s">
        <v>65</v>
      </c>
      <c r="K89" s="7" t="s">
        <v>56</v>
      </c>
      <c r="L89" s="7" t="s">
        <v>448</v>
      </c>
      <c r="M89" s="7" t="s">
        <v>160</v>
      </c>
      <c r="N89" s="8">
        <v>18500</v>
      </c>
      <c r="O89" s="7">
        <v>65</v>
      </c>
    </row>
    <row r="90" spans="2:15" x14ac:dyDescent="0.2">
      <c r="B90" s="6">
        <v>89</v>
      </c>
      <c r="C90" s="7" t="s">
        <v>449</v>
      </c>
      <c r="D90" s="7" t="s">
        <v>306</v>
      </c>
      <c r="E90" s="7" t="s">
        <v>338</v>
      </c>
      <c r="F90" s="7" t="s">
        <v>52</v>
      </c>
      <c r="G90" s="7" t="s">
        <v>339</v>
      </c>
      <c r="H90" s="7" t="s">
        <v>450</v>
      </c>
      <c r="I90" s="7" t="s">
        <v>306</v>
      </c>
      <c r="J90" s="7" t="s">
        <v>65</v>
      </c>
      <c r="K90" s="7" t="s">
        <v>56</v>
      </c>
      <c r="L90" s="7" t="s">
        <v>451</v>
      </c>
      <c r="M90" s="7" t="s">
        <v>452</v>
      </c>
      <c r="N90" s="8">
        <v>18500</v>
      </c>
      <c r="O90" s="7">
        <v>70</v>
      </c>
    </row>
    <row r="91" spans="2:15" x14ac:dyDescent="0.2">
      <c r="B91" s="6">
        <v>92</v>
      </c>
      <c r="C91" s="7" t="s">
        <v>453</v>
      </c>
      <c r="D91" s="7" t="s">
        <v>79</v>
      </c>
      <c r="E91" s="7" t="s">
        <v>61</v>
      </c>
      <c r="F91" s="7" t="s">
        <v>62</v>
      </c>
      <c r="G91" s="7" t="s">
        <v>454</v>
      </c>
      <c r="H91" s="7" t="s">
        <v>455</v>
      </c>
      <c r="I91" s="7" t="s">
        <v>79</v>
      </c>
      <c r="J91" s="7" t="s">
        <v>65</v>
      </c>
      <c r="K91" s="7" t="s">
        <v>56</v>
      </c>
      <c r="L91" s="7" t="s">
        <v>456</v>
      </c>
      <c r="M91" s="7" t="s">
        <v>457</v>
      </c>
      <c r="N91" s="8">
        <v>18000</v>
      </c>
      <c r="O91" s="7">
        <v>61</v>
      </c>
    </row>
    <row r="92" spans="2:15" x14ac:dyDescent="0.2">
      <c r="B92" s="6">
        <v>93</v>
      </c>
      <c r="C92" s="7" t="s">
        <v>458</v>
      </c>
      <c r="D92" s="7" t="s">
        <v>288</v>
      </c>
      <c r="E92" s="7" t="s">
        <v>242</v>
      </c>
      <c r="F92" s="7" t="s">
        <v>52</v>
      </c>
      <c r="G92" s="7" t="s">
        <v>243</v>
      </c>
      <c r="H92" s="7" t="s">
        <v>459</v>
      </c>
      <c r="I92" s="7" t="s">
        <v>288</v>
      </c>
      <c r="J92" s="7" t="s">
        <v>55</v>
      </c>
      <c r="K92" s="7" t="s">
        <v>56</v>
      </c>
      <c r="L92" s="7" t="s">
        <v>460</v>
      </c>
      <c r="M92" s="7" t="s">
        <v>461</v>
      </c>
      <c r="N92" s="8">
        <v>17700</v>
      </c>
      <c r="O92" s="7">
        <v>72</v>
      </c>
    </row>
    <row r="93" spans="2:15" x14ac:dyDescent="0.2">
      <c r="B93" s="6">
        <v>94</v>
      </c>
      <c r="C93" s="7" t="s">
        <v>462</v>
      </c>
      <c r="D93" s="7" t="s">
        <v>79</v>
      </c>
      <c r="E93" s="7" t="s">
        <v>61</v>
      </c>
      <c r="F93" s="7" t="s">
        <v>62</v>
      </c>
      <c r="G93" s="7" t="s">
        <v>424</v>
      </c>
      <c r="H93" s="7" t="s">
        <v>222</v>
      </c>
      <c r="I93" s="7" t="s">
        <v>79</v>
      </c>
      <c r="J93" s="7" t="s">
        <v>65</v>
      </c>
      <c r="K93" s="7" t="s">
        <v>56</v>
      </c>
      <c r="L93" s="7" t="s">
        <v>463</v>
      </c>
      <c r="M93" s="7" t="s">
        <v>110</v>
      </c>
      <c r="N93" s="8">
        <v>17500</v>
      </c>
      <c r="O93" s="7">
        <v>66</v>
      </c>
    </row>
    <row r="94" spans="2:15" x14ac:dyDescent="0.2">
      <c r="B94" s="6">
        <v>94</v>
      </c>
      <c r="C94" s="7" t="s">
        <v>464</v>
      </c>
      <c r="D94" s="7" t="s">
        <v>79</v>
      </c>
      <c r="E94" s="7" t="s">
        <v>61</v>
      </c>
      <c r="F94" s="7" t="s">
        <v>62</v>
      </c>
      <c r="G94" s="7" t="s">
        <v>465</v>
      </c>
      <c r="H94" s="7" t="s">
        <v>279</v>
      </c>
      <c r="I94" s="7" t="s">
        <v>79</v>
      </c>
      <c r="J94" s="7" t="s">
        <v>65</v>
      </c>
      <c r="K94" s="7" t="s">
        <v>56</v>
      </c>
      <c r="L94" s="7" t="s">
        <v>466</v>
      </c>
      <c r="M94" s="7" t="s">
        <v>467</v>
      </c>
      <c r="N94" s="8">
        <v>17500</v>
      </c>
      <c r="O94" s="7">
        <v>87</v>
      </c>
    </row>
    <row r="95" spans="2:15" x14ac:dyDescent="0.2">
      <c r="B95" s="6">
        <v>94</v>
      </c>
      <c r="C95" s="7" t="s">
        <v>468</v>
      </c>
      <c r="D95" s="7" t="s">
        <v>288</v>
      </c>
      <c r="E95" s="7" t="s">
        <v>102</v>
      </c>
      <c r="F95" s="7" t="s">
        <v>103</v>
      </c>
      <c r="G95" s="7" t="s">
        <v>469</v>
      </c>
      <c r="H95" s="7" t="s">
        <v>459</v>
      </c>
      <c r="I95" s="7" t="s">
        <v>288</v>
      </c>
      <c r="J95" s="7" t="s">
        <v>55</v>
      </c>
      <c r="K95" s="7" t="s">
        <v>113</v>
      </c>
      <c r="L95" s="7" t="s">
        <v>470</v>
      </c>
      <c r="M95" s="7" t="s">
        <v>471</v>
      </c>
      <c r="N95" s="8">
        <v>17500</v>
      </c>
      <c r="O95" s="7">
        <v>73</v>
      </c>
    </row>
    <row r="96" spans="2:15" x14ac:dyDescent="0.2">
      <c r="B96" s="6">
        <v>97</v>
      </c>
      <c r="C96" s="7" t="s">
        <v>472</v>
      </c>
      <c r="D96" s="7" t="s">
        <v>473</v>
      </c>
      <c r="E96" s="7" t="s">
        <v>61</v>
      </c>
      <c r="F96" s="7" t="s">
        <v>62</v>
      </c>
      <c r="G96" s="7" t="s">
        <v>474</v>
      </c>
      <c r="H96" s="7" t="s">
        <v>475</v>
      </c>
      <c r="I96" s="7" t="s">
        <v>473</v>
      </c>
      <c r="J96" s="7" t="s">
        <v>65</v>
      </c>
      <c r="K96" s="7" t="s">
        <v>56</v>
      </c>
      <c r="L96" s="7" t="s">
        <v>476</v>
      </c>
      <c r="M96" s="7" t="s">
        <v>477</v>
      </c>
      <c r="N96" s="8">
        <v>17400</v>
      </c>
      <c r="O96" s="7">
        <v>90</v>
      </c>
    </row>
    <row r="97" spans="2:15" x14ac:dyDescent="0.2">
      <c r="B97" s="6">
        <v>97</v>
      </c>
      <c r="C97" s="7" t="s">
        <v>478</v>
      </c>
      <c r="D97" s="7" t="s">
        <v>50</v>
      </c>
      <c r="E97" s="7" t="s">
        <v>61</v>
      </c>
      <c r="F97" s="7" t="s">
        <v>62</v>
      </c>
      <c r="G97" s="7" t="s">
        <v>479</v>
      </c>
      <c r="H97" s="7" t="s">
        <v>480</v>
      </c>
      <c r="I97" s="7" t="s">
        <v>50</v>
      </c>
      <c r="J97" s="7" t="s">
        <v>65</v>
      </c>
      <c r="K97" s="7" t="s">
        <v>56</v>
      </c>
      <c r="L97" s="7" t="s">
        <v>481</v>
      </c>
      <c r="M97" s="7" t="s">
        <v>208</v>
      </c>
      <c r="N97" s="8">
        <v>17400</v>
      </c>
      <c r="O97" s="7">
        <v>83</v>
      </c>
    </row>
    <row r="98" spans="2:15" x14ac:dyDescent="0.2">
      <c r="B98" s="6">
        <v>99</v>
      </c>
      <c r="C98" s="7" t="s">
        <v>482</v>
      </c>
      <c r="D98" s="7" t="s">
        <v>89</v>
      </c>
      <c r="E98" s="7" t="s">
        <v>61</v>
      </c>
      <c r="F98" s="7" t="s">
        <v>62</v>
      </c>
      <c r="G98" s="7" t="s">
        <v>90</v>
      </c>
      <c r="H98" s="7" t="s">
        <v>483</v>
      </c>
      <c r="I98" s="7" t="s">
        <v>89</v>
      </c>
      <c r="J98" s="7" t="s">
        <v>55</v>
      </c>
      <c r="K98" s="7" t="s">
        <v>56</v>
      </c>
      <c r="L98" s="7" t="s">
        <v>484</v>
      </c>
      <c r="M98" s="7" t="s">
        <v>485</v>
      </c>
      <c r="N98" s="8">
        <v>17100</v>
      </c>
      <c r="O98" s="7">
        <v>92</v>
      </c>
    </row>
    <row r="99" spans="2:15" x14ac:dyDescent="0.2">
      <c r="B99" s="6">
        <v>100</v>
      </c>
      <c r="C99" s="7" t="s">
        <v>486</v>
      </c>
      <c r="D99" s="7" t="s">
        <v>79</v>
      </c>
      <c r="E99" s="7" t="s">
        <v>190</v>
      </c>
      <c r="F99" s="7" t="s">
        <v>52</v>
      </c>
      <c r="G99" s="7" t="s">
        <v>487</v>
      </c>
      <c r="H99" s="7" t="s">
        <v>488</v>
      </c>
      <c r="I99" s="7" t="s">
        <v>79</v>
      </c>
      <c r="J99" s="7" t="s">
        <v>55</v>
      </c>
      <c r="K99" s="7" t="s">
        <v>113</v>
      </c>
      <c r="L99" s="7" t="s">
        <v>489</v>
      </c>
      <c r="M99" s="7" t="s">
        <v>490</v>
      </c>
      <c r="N99" s="8">
        <v>16700</v>
      </c>
      <c r="O99" s="7">
        <v>70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Veri temizleme</vt:lpstr>
      <vt:lpstr>Veri Cekme</vt:lpstr>
      <vt:lpstr>Formül Düzeltme</vt:lpstr>
      <vt:lpstr>Amortization Schedule</vt:lpstr>
      <vt:lpstr>Apple 10k Financial Model</vt:lpstr>
      <vt:lpstr>Data Analysis</vt:lpstr>
      <vt:lpstr>Dashboard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kenji farre</dc:creator>
  <cp:lastModifiedBy>Batuhan Sarı</cp:lastModifiedBy>
  <dcterms:created xsi:type="dcterms:W3CDTF">2026-01-25T23:58:13Z</dcterms:created>
  <dcterms:modified xsi:type="dcterms:W3CDTF">2026-02-13T21:28:24Z</dcterms:modified>
</cp:coreProperties>
</file>