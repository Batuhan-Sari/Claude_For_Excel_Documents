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ökhan Aydın\Desktop\"/>
    </mc:Choice>
  </mc:AlternateContent>
  <xr:revisionPtr revIDLastSave="0" documentId="13_ncr:1_{21121E3A-069B-4BE9-86AC-867319913FF3}" xr6:coauthVersionLast="47" xr6:coauthVersionMax="47" xr10:uidLastSave="{00000000-0000-0000-0000-000000000000}"/>
  <bookViews>
    <workbookView xWindow="-110" yWindow="-110" windowWidth="19420" windowHeight="10300" firstSheet="1" activeTab="1" xr2:uid="{0F1AE780-0920-FA4B-B5E1-0790B7AEC98C}"/>
  </bookViews>
  <sheets>
    <sheet name="Veri temizleme" sheetId="1" r:id="rId1"/>
    <sheet name="Veri Cekme" sheetId="8" r:id="rId2"/>
    <sheet name="Formül Düzeltme" sheetId="3" r:id="rId3"/>
    <sheet name="Faiz Hesabı" sheetId="6" r:id="rId4"/>
    <sheet name="veri görselleştirme" sheetId="5" r:id="rId5"/>
  </sheets>
  <definedNames>
    <definedName name="age">#REF!</definedName>
    <definedName name="count">#REF!</definedName>
    <definedName name="worth">#REF!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5" i="5" l="1"/>
  <c r="C105" i="5"/>
  <c r="F14" i="6"/>
  <c r="F13" i="6"/>
  <c r="F12" i="6"/>
  <c r="F11"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D20" i="6"/>
  <c r="C20" i="6"/>
  <c r="G19" i="6"/>
  <c r="C19" i="6"/>
  <c r="B19" i="6"/>
  <c r="B20" i="6" s="1"/>
  <c r="B21" i="6" s="1"/>
  <c r="G18" i="6"/>
  <c r="F18" i="6"/>
  <c r="E18" i="6"/>
  <c r="D18" i="6"/>
  <c r="C18" i="6"/>
  <c r="B18" i="6"/>
  <c r="F17" i="6"/>
  <c r="G17" i="6"/>
  <c r="E17" i="6"/>
  <c r="D17" i="6"/>
  <c r="C17" i="6"/>
  <c r="C14" i="6"/>
  <c r="J3" i="3"/>
  <c r="H22" i="3"/>
  <c r="H21" i="3"/>
  <c r="H20" i="3"/>
  <c r="H19" i="3"/>
  <c r="H18" i="3"/>
  <c r="H17" i="3"/>
  <c r="H16" i="3"/>
  <c r="H15" i="3"/>
  <c r="H14" i="3"/>
  <c r="H13" i="3"/>
  <c r="H12" i="3"/>
  <c r="H11" i="3"/>
  <c r="H10" i="3"/>
  <c r="H9" i="3"/>
  <c r="H8" i="3"/>
  <c r="H7" i="3"/>
  <c r="H6" i="3"/>
  <c r="H5" i="3"/>
  <c r="H4" i="3"/>
  <c r="H3" i="3"/>
  <c r="E21" i="6" l="1"/>
  <c r="D21" i="6"/>
  <c r="G21" i="6"/>
  <c r="B22" i="6"/>
  <c r="F21" i="6"/>
  <c r="F20" i="6"/>
  <c r="G20" i="6"/>
  <c r="E20" i="6"/>
  <c r="D19" i="6"/>
  <c r="E19" i="6"/>
  <c r="F19" i="6"/>
  <c r="G22" i="6" l="1"/>
  <c r="F22" i="6"/>
  <c r="B23" i="6"/>
  <c r="E22" i="6"/>
  <c r="D22" i="6"/>
  <c r="B24" i="6" l="1"/>
  <c r="G23" i="6"/>
  <c r="F23" i="6"/>
  <c r="E23" i="6"/>
  <c r="D23" i="6"/>
  <c r="F24" i="6" l="1"/>
  <c r="E24" i="6"/>
  <c r="B25" i="6"/>
  <c r="D24" i="6"/>
  <c r="G24" i="6"/>
  <c r="E25" i="6" l="1"/>
  <c r="D25" i="6"/>
  <c r="G25" i="6"/>
  <c r="B26" i="6"/>
  <c r="F25" i="6"/>
  <c r="G26" i="6" l="1"/>
  <c r="F26" i="6"/>
  <c r="D26" i="6"/>
  <c r="B27" i="6"/>
  <c r="E26" i="6"/>
  <c r="B28" i="6" l="1"/>
  <c r="D27" i="6"/>
  <c r="G27" i="6"/>
  <c r="E27" i="6"/>
  <c r="F27" i="6"/>
  <c r="F28" i="6" l="1"/>
  <c r="G28" i="6"/>
  <c r="B29" i="6"/>
  <c r="E28" i="6"/>
  <c r="D28" i="6"/>
  <c r="E29" i="6" l="1"/>
  <c r="D29" i="6"/>
  <c r="G29" i="6"/>
  <c r="F29" i="6"/>
  <c r="B30" i="6"/>
  <c r="G30" i="6" l="1"/>
  <c r="F30" i="6"/>
  <c r="E30" i="6"/>
  <c r="B31" i="6"/>
  <c r="D30" i="6"/>
  <c r="B32" i="6" l="1"/>
  <c r="E31" i="6"/>
  <c r="G31" i="6"/>
  <c r="D31" i="6"/>
  <c r="F31" i="6"/>
  <c r="B33" i="6" l="1"/>
  <c r="G32" i="6"/>
  <c r="E32" i="6"/>
  <c r="D32" i="6"/>
  <c r="F32" i="6"/>
  <c r="E33" i="6" l="1"/>
  <c r="D33" i="6"/>
  <c r="B34" i="6"/>
  <c r="F33" i="6"/>
  <c r="G33" i="6"/>
  <c r="G34" i="6" l="1"/>
  <c r="F34" i="6"/>
  <c r="B35" i="6"/>
  <c r="E34" i="6"/>
  <c r="D34" i="6"/>
  <c r="B36" i="6" l="1"/>
  <c r="D35" i="6"/>
  <c r="E35" i="6"/>
  <c r="G35" i="6"/>
  <c r="F35" i="6"/>
  <c r="E36" i="6" l="1"/>
  <c r="B37" i="6"/>
  <c r="D36" i="6"/>
  <c r="G36" i="6"/>
  <c r="F36" i="6"/>
  <c r="F37" i="6" l="1"/>
  <c r="E37" i="6"/>
  <c r="D37" i="6"/>
  <c r="G37" i="6"/>
  <c r="B38" i="6"/>
  <c r="B39" i="6" l="1"/>
  <c r="G38" i="6"/>
  <c r="F38" i="6"/>
  <c r="D38" i="6"/>
  <c r="E38" i="6"/>
  <c r="B40" i="6" l="1"/>
  <c r="E39" i="6"/>
  <c r="G39" i="6"/>
  <c r="F39" i="6"/>
  <c r="D39" i="6"/>
  <c r="D40" i="6" l="1"/>
  <c r="E40" i="6"/>
  <c r="B41" i="6"/>
  <c r="G40" i="6"/>
  <c r="F40" i="6"/>
  <c r="F41" i="6" l="1"/>
  <c r="E41" i="6"/>
  <c r="D41" i="6"/>
  <c r="G41" i="6"/>
  <c r="B42" i="6"/>
  <c r="B43" i="6" l="1"/>
  <c r="G42" i="6"/>
  <c r="F42" i="6"/>
  <c r="D42" i="6"/>
  <c r="E42" i="6"/>
  <c r="B44" i="6" l="1"/>
  <c r="D43" i="6"/>
  <c r="G43" i="6"/>
  <c r="F43" i="6"/>
  <c r="E43" i="6"/>
  <c r="D44" i="6" l="1"/>
  <c r="E44" i="6"/>
  <c r="B45" i="6"/>
  <c r="G44" i="6"/>
  <c r="F44" i="6"/>
  <c r="F45" i="6" l="1"/>
  <c r="E45" i="6"/>
  <c r="D45" i="6"/>
  <c r="G45" i="6"/>
  <c r="B46" i="6"/>
  <c r="B47" i="6" l="1"/>
  <c r="G46" i="6"/>
  <c r="F46" i="6"/>
  <c r="D46" i="6"/>
  <c r="E46" i="6"/>
  <c r="B48" i="6" l="1"/>
  <c r="E47" i="6"/>
  <c r="D47" i="6"/>
  <c r="G47" i="6"/>
  <c r="F47" i="6"/>
  <c r="D48" i="6" l="1"/>
  <c r="E48" i="6"/>
  <c r="B49" i="6"/>
  <c r="G48" i="6"/>
  <c r="F48" i="6"/>
  <c r="F49" i="6" l="1"/>
  <c r="E49" i="6"/>
  <c r="D49" i="6"/>
  <c r="G49" i="6"/>
  <c r="B50" i="6"/>
  <c r="B51" i="6" l="1"/>
  <c r="G50" i="6"/>
  <c r="F50" i="6"/>
  <c r="D50" i="6"/>
  <c r="E50" i="6"/>
  <c r="B52" i="6" l="1"/>
  <c r="E51" i="6"/>
  <c r="G51" i="6"/>
  <c r="F51" i="6"/>
  <c r="D51" i="6"/>
  <c r="D52" i="6" l="1"/>
  <c r="E52" i="6"/>
  <c r="B53" i="6"/>
  <c r="G52" i="6"/>
  <c r="F52" i="6"/>
  <c r="F53" i="6" l="1"/>
  <c r="E53" i="6"/>
  <c r="D53" i="6"/>
  <c r="G53" i="6"/>
  <c r="B54" i="6"/>
  <c r="B55" i="6" l="1"/>
  <c r="G54" i="6"/>
  <c r="F54" i="6"/>
  <c r="D54" i="6"/>
  <c r="E54" i="6"/>
  <c r="B56" i="6" l="1"/>
  <c r="D55" i="6"/>
  <c r="G55" i="6"/>
  <c r="F55" i="6"/>
  <c r="E55" i="6"/>
  <c r="D56" i="6" l="1"/>
  <c r="E56" i="6"/>
  <c r="G56" i="6"/>
  <c r="B57" i="6"/>
  <c r="F56" i="6"/>
  <c r="F57" i="6" l="1"/>
  <c r="E57" i="6"/>
  <c r="D57" i="6"/>
  <c r="G57" i="6"/>
  <c r="B58" i="6"/>
  <c r="B59" i="6" l="1"/>
  <c r="G58" i="6"/>
  <c r="F58" i="6"/>
  <c r="D58" i="6"/>
  <c r="E58" i="6"/>
  <c r="B60" i="6" l="1"/>
  <c r="E59" i="6"/>
  <c r="D59" i="6"/>
  <c r="G59" i="6"/>
  <c r="F59" i="6"/>
  <c r="D60" i="6" l="1"/>
  <c r="E60" i="6"/>
  <c r="B61" i="6"/>
  <c r="G60" i="6"/>
  <c r="F60" i="6"/>
  <c r="F61" i="6" l="1"/>
  <c r="E61" i="6"/>
  <c r="D61" i="6"/>
  <c r="G61" i="6"/>
  <c r="B62" i="6"/>
  <c r="B63" i="6" l="1"/>
  <c r="G62" i="6"/>
  <c r="F62" i="6"/>
  <c r="D62" i="6"/>
  <c r="E62" i="6"/>
  <c r="B64" i="6" l="1"/>
  <c r="E63" i="6"/>
  <c r="G63" i="6"/>
  <c r="F63" i="6"/>
  <c r="D63" i="6"/>
  <c r="D64" i="6" l="1"/>
  <c r="E64" i="6"/>
  <c r="B65" i="6"/>
  <c r="G64" i="6"/>
  <c r="F64" i="6"/>
  <c r="F65" i="6" l="1"/>
  <c r="E65" i="6"/>
  <c r="D65" i="6"/>
  <c r="G65" i="6"/>
  <c r="B66" i="6"/>
  <c r="B67" i="6" l="1"/>
  <c r="G66" i="6"/>
  <c r="F66" i="6"/>
  <c r="D66" i="6"/>
  <c r="E66" i="6"/>
  <c r="B68" i="6" l="1"/>
  <c r="E67" i="6"/>
  <c r="D67" i="6"/>
  <c r="G67" i="6"/>
  <c r="F67" i="6"/>
  <c r="D68" i="6" l="1"/>
  <c r="E68" i="6"/>
  <c r="G68" i="6"/>
  <c r="B69" i="6"/>
  <c r="F68" i="6"/>
  <c r="F69" i="6" l="1"/>
  <c r="E69" i="6"/>
  <c r="D69" i="6"/>
  <c r="B70" i="6"/>
  <c r="G69" i="6"/>
  <c r="B71" i="6" l="1"/>
  <c r="G70" i="6"/>
  <c r="F70" i="6"/>
  <c r="D70" i="6"/>
  <c r="E70" i="6"/>
  <c r="B72" i="6" l="1"/>
  <c r="E71" i="6"/>
  <c r="D71" i="6"/>
  <c r="F71" i="6"/>
  <c r="G71" i="6"/>
  <c r="D72" i="6" l="1"/>
  <c r="E72" i="6"/>
  <c r="B73" i="6"/>
  <c r="G72" i="6"/>
  <c r="F72" i="6"/>
  <c r="F73" i="6" l="1"/>
  <c r="E73" i="6"/>
  <c r="D73" i="6"/>
  <c r="B74" i="6"/>
  <c r="G73" i="6"/>
  <c r="B75" i="6" l="1"/>
  <c r="G74" i="6"/>
  <c r="F74" i="6"/>
  <c r="D74" i="6"/>
  <c r="E74" i="6"/>
  <c r="E75" i="6" l="1"/>
  <c r="D75" i="6"/>
  <c r="G75" i="6"/>
  <c r="F75" i="6"/>
  <c r="B76" i="6"/>
  <c r="G76" i="6" l="1"/>
  <c r="E76" i="6"/>
  <c r="D76" i="6"/>
  <c r="F76" i="6"/>
  <c r="B77" i="6"/>
  <c r="B78" i="6" l="1"/>
  <c r="G77" i="6"/>
  <c r="F77" i="6"/>
  <c r="E77" i="6"/>
  <c r="D77" i="6"/>
  <c r="B79" i="6" l="1"/>
  <c r="F78" i="6"/>
  <c r="E78" i="6"/>
  <c r="D78" i="6"/>
  <c r="G78" i="6"/>
  <c r="E79" i="6" l="1"/>
  <c r="D79" i="6"/>
  <c r="B80" i="6"/>
  <c r="G79" i="6"/>
  <c r="F79" i="6"/>
  <c r="G80" i="6" l="1"/>
  <c r="B81" i="6"/>
  <c r="F80" i="6"/>
  <c r="E80" i="6"/>
  <c r="D80" i="6"/>
  <c r="B82" i="6" l="1"/>
  <c r="G81" i="6"/>
  <c r="F81" i="6"/>
  <c r="D81" i="6"/>
  <c r="E81" i="6"/>
  <c r="D82" i="6" l="1"/>
  <c r="G82" i="6"/>
  <c r="F82" i="6"/>
  <c r="E82" i="6"/>
  <c r="B83" i="6"/>
  <c r="E83" i="6" l="1"/>
  <c r="G83" i="6"/>
  <c r="F83" i="6"/>
  <c r="D83" i="6"/>
  <c r="B84" i="6"/>
  <c r="G84" i="6" l="1"/>
  <c r="B85" i="6"/>
  <c r="F84" i="6"/>
  <c r="E84" i="6"/>
  <c r="D84" i="6"/>
  <c r="D85" i="6" l="1"/>
  <c r="E85" i="6"/>
  <c r="B86" i="6"/>
  <c r="G85" i="6"/>
  <c r="F85" i="6"/>
  <c r="F86" i="6" l="1"/>
  <c r="E86" i="6"/>
  <c r="D86" i="6"/>
  <c r="B87" i="6"/>
  <c r="G86" i="6"/>
  <c r="E87" i="6" l="1"/>
  <c r="B88" i="6"/>
  <c r="G87" i="6"/>
  <c r="F87" i="6"/>
  <c r="D87" i="6"/>
  <c r="G88" i="6" l="1"/>
  <c r="B89" i="6"/>
  <c r="D88" i="6"/>
  <c r="F88" i="6"/>
  <c r="E88" i="6"/>
  <c r="G89" i="6" l="1"/>
  <c r="B90" i="6"/>
  <c r="F89" i="6"/>
  <c r="E89" i="6"/>
  <c r="D89" i="6"/>
  <c r="D90" i="6" l="1"/>
  <c r="G90" i="6"/>
  <c r="F90" i="6"/>
  <c r="B91" i="6"/>
  <c r="E90" i="6"/>
  <c r="E91" i="6" l="1"/>
  <c r="G91" i="6"/>
  <c r="F91" i="6"/>
  <c r="D91" i="6"/>
  <c r="B92" i="6"/>
  <c r="G92" i="6" l="1"/>
  <c r="F92" i="6"/>
  <c r="E92" i="6"/>
  <c r="B93" i="6"/>
  <c r="D92" i="6"/>
  <c r="D93" i="6" l="1"/>
  <c r="F93" i="6"/>
  <c r="E93" i="6"/>
  <c r="G93" i="6"/>
  <c r="B94" i="6"/>
  <c r="F94" i="6" l="1"/>
  <c r="B95" i="6"/>
  <c r="G94" i="6"/>
  <c r="D94" i="6"/>
  <c r="E94" i="6"/>
  <c r="E95" i="6" l="1"/>
  <c r="F95" i="6"/>
  <c r="B96" i="6"/>
  <c r="G95" i="6"/>
  <c r="D95" i="6"/>
  <c r="G96" i="6" l="1"/>
  <c r="B97" i="6"/>
  <c r="F96" i="6"/>
  <c r="E96" i="6"/>
  <c r="D96" i="6"/>
  <c r="F97" i="6" l="1"/>
  <c r="B98" i="6"/>
  <c r="G97" i="6"/>
  <c r="E97" i="6"/>
  <c r="D97" i="6"/>
  <c r="B99" i="6" l="1"/>
  <c r="E98" i="6"/>
  <c r="F98" i="6"/>
  <c r="D98" i="6"/>
  <c r="G98" i="6"/>
  <c r="E99" i="6" l="1"/>
  <c r="B100" i="6"/>
  <c r="D99" i="6"/>
  <c r="F99" i="6"/>
  <c r="G99" i="6"/>
  <c r="G100" i="6" l="1"/>
  <c r="E100" i="6"/>
  <c r="F100" i="6"/>
  <c r="D100" i="6"/>
  <c r="B101" i="6"/>
  <c r="B102" i="6" l="1"/>
  <c r="E101" i="6"/>
  <c r="G101" i="6"/>
  <c r="F101" i="6"/>
  <c r="D101" i="6"/>
  <c r="G102" i="6" l="1"/>
  <c r="E102" i="6"/>
  <c r="D102" i="6"/>
  <c r="B103" i="6"/>
  <c r="F102" i="6"/>
  <c r="E103" i="6" l="1"/>
  <c r="D103" i="6"/>
  <c r="B104" i="6"/>
  <c r="G103" i="6"/>
  <c r="F103" i="6"/>
  <c r="G104" i="6" l="1"/>
  <c r="B105" i="6"/>
  <c r="D104" i="6"/>
  <c r="E104" i="6"/>
  <c r="F104" i="6"/>
  <c r="G105" i="6" l="1"/>
  <c r="B106" i="6"/>
  <c r="E105" i="6"/>
  <c r="F105" i="6"/>
  <c r="D105" i="6"/>
  <c r="D106" i="6" l="1"/>
  <c r="E106" i="6"/>
  <c r="B107" i="6"/>
  <c r="G106" i="6"/>
  <c r="F106" i="6"/>
  <c r="E107" i="6" l="1"/>
  <c r="G107" i="6"/>
  <c r="B108" i="6"/>
  <c r="F107" i="6"/>
  <c r="D107" i="6"/>
  <c r="G108" i="6" l="1"/>
  <c r="F108" i="6"/>
  <c r="E108" i="6"/>
  <c r="B109" i="6"/>
  <c r="D108" i="6"/>
  <c r="D109" i="6" l="1"/>
  <c r="B110" i="6"/>
  <c r="G109" i="6"/>
  <c r="F109" i="6"/>
  <c r="E109" i="6"/>
  <c r="F110" i="6" l="1"/>
  <c r="E110" i="6"/>
  <c r="B111" i="6"/>
  <c r="G110" i="6"/>
  <c r="D110" i="6"/>
  <c r="E111" i="6" l="1"/>
  <c r="F111" i="6"/>
  <c r="G111" i="6"/>
  <c r="D111" i="6"/>
  <c r="B112" i="6"/>
  <c r="G112" i="6" l="1"/>
  <c r="B113" i="6"/>
  <c r="F112" i="6"/>
  <c r="E112" i="6"/>
  <c r="D112" i="6"/>
  <c r="F113" i="6" l="1"/>
  <c r="D113" i="6"/>
  <c r="B114" i="6"/>
  <c r="E113" i="6"/>
  <c r="G113" i="6"/>
  <c r="B115" i="6" l="1"/>
  <c r="E114" i="6"/>
  <c r="G114" i="6"/>
  <c r="F114" i="6"/>
  <c r="D114" i="6"/>
  <c r="E115" i="6" l="1"/>
  <c r="B116" i="6"/>
  <c r="F115" i="6"/>
  <c r="D115" i="6"/>
  <c r="G115" i="6"/>
  <c r="G116" i="6" l="1"/>
  <c r="E116" i="6"/>
  <c r="B117" i="6"/>
  <c r="F116" i="6"/>
  <c r="D116" i="6"/>
  <c r="B118" i="6" l="1"/>
  <c r="E117" i="6"/>
  <c r="F117" i="6"/>
  <c r="G117" i="6"/>
  <c r="D117" i="6"/>
  <c r="G118" i="6" l="1"/>
  <c r="B119" i="6"/>
  <c r="F118" i="6"/>
  <c r="E118" i="6"/>
  <c r="D118" i="6"/>
  <c r="E119" i="6" l="1"/>
  <c r="D119" i="6"/>
  <c r="G119" i="6"/>
  <c r="B120" i="6"/>
  <c r="F119" i="6"/>
  <c r="G120" i="6" l="1"/>
  <c r="B121" i="6"/>
  <c r="D120" i="6"/>
  <c r="F120" i="6"/>
  <c r="E120" i="6"/>
  <c r="B122" i="6" l="1"/>
  <c r="G121" i="6"/>
  <c r="D121" i="6"/>
  <c r="F121" i="6"/>
  <c r="E121" i="6"/>
  <c r="D122" i="6" l="1"/>
  <c r="B123" i="6"/>
  <c r="G122" i="6"/>
  <c r="F122" i="6"/>
  <c r="E122" i="6"/>
  <c r="E123" i="6" l="1"/>
  <c r="G123" i="6"/>
  <c r="F123" i="6"/>
  <c r="D123" i="6"/>
  <c r="B124" i="6"/>
  <c r="G124" i="6" l="1"/>
  <c r="B125" i="6"/>
  <c r="F124" i="6"/>
  <c r="E124" i="6"/>
  <c r="D124" i="6"/>
  <c r="D125" i="6" l="1"/>
  <c r="F125" i="6"/>
  <c r="E125" i="6"/>
  <c r="B126" i="6"/>
  <c r="G125" i="6"/>
  <c r="F126" i="6" l="1"/>
  <c r="E126" i="6"/>
  <c r="D126" i="6"/>
  <c r="B127" i="6"/>
  <c r="G126" i="6"/>
  <c r="E127" i="6" l="1"/>
  <c r="B128" i="6"/>
  <c r="G127" i="6"/>
  <c r="F127" i="6"/>
  <c r="D127" i="6"/>
  <c r="G128" i="6" l="1"/>
  <c r="F128" i="6"/>
  <c r="E128" i="6"/>
  <c r="D128" i="6"/>
  <c r="B129" i="6"/>
  <c r="F129" i="6" l="1"/>
  <c r="E129" i="6"/>
  <c r="D129" i="6"/>
  <c r="B130" i="6"/>
  <c r="G129" i="6"/>
  <c r="B131" i="6" l="1"/>
  <c r="G130" i="6"/>
  <c r="F130" i="6"/>
  <c r="E130" i="6"/>
  <c r="D130" i="6"/>
  <c r="E131" i="6" l="1"/>
  <c r="B132" i="6"/>
  <c r="G131" i="6"/>
  <c r="F131" i="6"/>
  <c r="D131" i="6"/>
  <c r="G132" i="6" l="1"/>
  <c r="E132" i="6"/>
  <c r="D132" i="6"/>
  <c r="B133" i="6"/>
  <c r="F132" i="6"/>
  <c r="B134" i="6" l="1"/>
  <c r="G133" i="6"/>
  <c r="F133" i="6"/>
  <c r="E133" i="6"/>
  <c r="D133" i="6"/>
  <c r="B135" i="6" l="1"/>
  <c r="G134" i="6"/>
  <c r="F134" i="6"/>
  <c r="D134" i="6"/>
  <c r="E134" i="6"/>
  <c r="E135" i="6" l="1"/>
  <c r="D135" i="6"/>
  <c r="F135" i="6"/>
  <c r="G135" i="6"/>
  <c r="B136" i="6"/>
  <c r="G136" i="6" l="1"/>
  <c r="B137" i="6"/>
  <c r="F136" i="6"/>
  <c r="E136" i="6"/>
  <c r="D136" i="6"/>
  <c r="B138" i="6" l="1"/>
  <c r="G137" i="6"/>
  <c r="F137" i="6"/>
  <c r="E137" i="6"/>
  <c r="D137" i="6"/>
  <c r="D138" i="6" l="1"/>
  <c r="G138" i="6"/>
  <c r="F138" i="6"/>
  <c r="E138" i="6"/>
  <c r="B139" i="6"/>
  <c r="E139" i="6" l="1"/>
  <c r="G139" i="6"/>
  <c r="F139" i="6"/>
  <c r="D139" i="6"/>
  <c r="B140" i="6"/>
  <c r="G140" i="6" l="1"/>
  <c r="B141" i="6"/>
  <c r="F140" i="6"/>
  <c r="D140" i="6"/>
  <c r="E140" i="6"/>
  <c r="D141" i="6" l="1"/>
  <c r="B142" i="6"/>
  <c r="G141" i="6"/>
  <c r="F141" i="6"/>
  <c r="E141" i="6"/>
  <c r="F142" i="6" l="1"/>
  <c r="E142" i="6"/>
  <c r="D142" i="6"/>
  <c r="G142" i="6"/>
  <c r="B143" i="6"/>
  <c r="E143" i="6" l="1"/>
  <c r="B144" i="6"/>
  <c r="G143" i="6"/>
  <c r="F143" i="6"/>
  <c r="D143" i="6"/>
  <c r="G144" i="6" l="1"/>
  <c r="B145" i="6"/>
  <c r="F144" i="6"/>
  <c r="E144" i="6"/>
  <c r="D144" i="6"/>
  <c r="F145" i="6" l="1"/>
  <c r="E145" i="6"/>
  <c r="D145" i="6"/>
  <c r="G145" i="6"/>
  <c r="B146" i="6"/>
  <c r="B147" i="6" l="1"/>
  <c r="G146" i="6"/>
  <c r="F146" i="6"/>
  <c r="E146" i="6"/>
  <c r="D146" i="6"/>
  <c r="E147" i="6" l="1"/>
  <c r="B148" i="6"/>
  <c r="F147" i="6"/>
  <c r="D147" i="6"/>
  <c r="G147" i="6"/>
  <c r="G148" i="6" l="1"/>
  <c r="E148" i="6"/>
  <c r="D148" i="6"/>
  <c r="B149" i="6"/>
  <c r="F148" i="6"/>
  <c r="B150" i="6" l="1"/>
  <c r="G149" i="6"/>
  <c r="F149" i="6"/>
  <c r="E149" i="6"/>
  <c r="D149" i="6"/>
  <c r="B151" i="6" l="1"/>
  <c r="G150" i="6"/>
  <c r="D150" i="6"/>
  <c r="E150" i="6"/>
  <c r="F150" i="6"/>
  <c r="E151" i="6" l="1"/>
  <c r="D151" i="6"/>
  <c r="B152" i="6"/>
  <c r="G151" i="6"/>
  <c r="F151" i="6"/>
  <c r="G152" i="6" l="1"/>
  <c r="B153" i="6"/>
  <c r="F152" i="6"/>
  <c r="E152" i="6"/>
  <c r="D152" i="6"/>
  <c r="B154" i="6" l="1"/>
  <c r="G153" i="6"/>
  <c r="E153" i="6"/>
  <c r="D153" i="6"/>
  <c r="F153" i="6"/>
  <c r="D154" i="6" l="1"/>
  <c r="B155" i="6"/>
  <c r="G154" i="6"/>
  <c r="F154" i="6"/>
  <c r="E154" i="6"/>
  <c r="E155" i="6" l="1"/>
  <c r="G155" i="6"/>
  <c r="F155" i="6"/>
  <c r="D155" i="6"/>
  <c r="B156" i="6"/>
  <c r="G156" i="6" l="1"/>
  <c r="B157" i="6"/>
  <c r="F156" i="6"/>
  <c r="E156" i="6"/>
  <c r="D156" i="6"/>
  <c r="D157" i="6" l="1"/>
  <c r="F157" i="6"/>
  <c r="E157" i="6"/>
  <c r="G157" i="6"/>
  <c r="B158" i="6"/>
  <c r="F158" i="6" l="1"/>
  <c r="E158" i="6"/>
  <c r="D158" i="6"/>
  <c r="G158" i="6"/>
  <c r="B159" i="6"/>
  <c r="E159" i="6" l="1"/>
  <c r="B160" i="6"/>
  <c r="G159" i="6"/>
  <c r="F159" i="6"/>
  <c r="D159" i="6"/>
  <c r="G160" i="6" l="1"/>
  <c r="B161" i="6"/>
  <c r="D160" i="6"/>
  <c r="F160" i="6"/>
  <c r="E160" i="6"/>
  <c r="F161" i="6" l="1"/>
  <c r="E161" i="6"/>
  <c r="D161" i="6"/>
  <c r="B162" i="6"/>
  <c r="G161" i="6"/>
  <c r="B163" i="6" l="1"/>
  <c r="G162" i="6"/>
  <c r="F162" i="6"/>
  <c r="E162" i="6"/>
  <c r="D162" i="6"/>
  <c r="E163" i="6" l="1"/>
  <c r="B164" i="6"/>
  <c r="G163" i="6"/>
  <c r="F163" i="6"/>
  <c r="D163" i="6"/>
  <c r="G164" i="6" l="1"/>
  <c r="E164" i="6"/>
  <c r="D164" i="6"/>
  <c r="B165" i="6"/>
  <c r="F164" i="6"/>
  <c r="B166" i="6" l="1"/>
  <c r="G165" i="6"/>
  <c r="F165" i="6"/>
  <c r="E165" i="6"/>
  <c r="D165" i="6"/>
  <c r="B167" i="6" l="1"/>
  <c r="G166" i="6"/>
  <c r="F166" i="6"/>
  <c r="E166" i="6"/>
  <c r="D166" i="6"/>
  <c r="E167" i="6" l="1"/>
  <c r="D167" i="6"/>
  <c r="F167" i="6"/>
  <c r="G167" i="6"/>
  <c r="B168" i="6"/>
  <c r="G168" i="6" l="1"/>
  <c r="B169" i="6"/>
  <c r="F168" i="6"/>
  <c r="E168" i="6"/>
  <c r="D168" i="6"/>
  <c r="B170" i="6" l="1"/>
  <c r="G169" i="6"/>
  <c r="F169" i="6"/>
  <c r="E169" i="6"/>
  <c r="D169" i="6"/>
  <c r="D170" i="6" l="1"/>
  <c r="F170" i="6"/>
  <c r="G170" i="6"/>
  <c r="B171" i="6"/>
  <c r="E170" i="6"/>
  <c r="E171" i="6" l="1"/>
  <c r="G171" i="6"/>
  <c r="F171" i="6"/>
  <c r="D171" i="6"/>
  <c r="B172" i="6"/>
  <c r="G172" i="6" l="1"/>
  <c r="B173" i="6"/>
  <c r="F172" i="6"/>
  <c r="D172" i="6"/>
  <c r="E172" i="6"/>
  <c r="D173" i="6" l="1"/>
  <c r="G173" i="6"/>
  <c r="B174" i="6"/>
  <c r="F173" i="6"/>
  <c r="E173" i="6"/>
  <c r="F174" i="6" l="1"/>
  <c r="E174" i="6"/>
  <c r="D174" i="6"/>
  <c r="G174" i="6"/>
  <c r="B175" i="6"/>
  <c r="E175" i="6" l="1"/>
  <c r="B176" i="6"/>
  <c r="G175" i="6"/>
  <c r="F175" i="6"/>
  <c r="D175" i="6"/>
  <c r="G176" i="6" l="1"/>
  <c r="B177" i="6"/>
  <c r="F176" i="6"/>
  <c r="E176" i="6"/>
  <c r="D176" i="6"/>
  <c r="F177" i="6" l="1"/>
  <c r="E177" i="6"/>
  <c r="D177" i="6"/>
  <c r="B178" i="6"/>
  <c r="G177" i="6"/>
  <c r="B179" i="6" l="1"/>
  <c r="G178" i="6"/>
  <c r="F178" i="6"/>
  <c r="E178" i="6"/>
  <c r="D178" i="6"/>
  <c r="E179" i="6" l="1"/>
  <c r="B180" i="6"/>
  <c r="F179" i="6"/>
  <c r="D179" i="6"/>
  <c r="G179" i="6"/>
  <c r="G180" i="6" l="1"/>
  <c r="E180" i="6"/>
  <c r="D180" i="6"/>
  <c r="F180" i="6"/>
  <c r="B181" i="6"/>
  <c r="B182" i="6" l="1"/>
  <c r="G181" i="6"/>
  <c r="F181" i="6"/>
  <c r="E181" i="6"/>
  <c r="D181" i="6"/>
  <c r="B183" i="6" l="1"/>
  <c r="G182" i="6"/>
  <c r="D182" i="6"/>
  <c r="F182" i="6"/>
  <c r="E182" i="6"/>
  <c r="E183" i="6" l="1"/>
  <c r="D183" i="6"/>
  <c r="B184" i="6"/>
  <c r="G183" i="6"/>
  <c r="F183" i="6"/>
  <c r="G184" i="6" l="1"/>
  <c r="B185" i="6"/>
  <c r="F184" i="6"/>
  <c r="E184" i="6"/>
  <c r="D184" i="6"/>
  <c r="B186" i="6" l="1"/>
  <c r="G185" i="6"/>
  <c r="E185" i="6"/>
  <c r="D185" i="6"/>
  <c r="F185" i="6"/>
  <c r="D186" i="6" l="1"/>
  <c r="B187" i="6"/>
  <c r="G186" i="6"/>
  <c r="F186" i="6"/>
  <c r="E186" i="6"/>
  <c r="E187" i="6" l="1"/>
  <c r="G187" i="6"/>
  <c r="F187" i="6"/>
  <c r="D187" i="6"/>
  <c r="B188" i="6"/>
  <c r="G188" i="6" l="1"/>
  <c r="B189" i="6"/>
  <c r="F188" i="6"/>
  <c r="E188" i="6"/>
  <c r="D188" i="6"/>
  <c r="D189" i="6" l="1"/>
  <c r="F189" i="6"/>
  <c r="E189" i="6"/>
  <c r="B190" i="6"/>
  <c r="G189" i="6"/>
  <c r="F190" i="6" l="1"/>
  <c r="E190" i="6"/>
  <c r="D190" i="6"/>
  <c r="B191" i="6"/>
  <c r="G190" i="6"/>
  <c r="E191" i="6" l="1"/>
  <c r="B192" i="6"/>
  <c r="G191" i="6"/>
  <c r="F191" i="6"/>
  <c r="D191" i="6"/>
  <c r="G192" i="6" l="1"/>
  <c r="D192" i="6"/>
  <c r="E192" i="6"/>
  <c r="B193" i="6"/>
  <c r="F192" i="6"/>
  <c r="F193" i="6" l="1"/>
  <c r="E193" i="6"/>
  <c r="D193" i="6"/>
  <c r="B194" i="6"/>
  <c r="G193" i="6"/>
  <c r="B195" i="6" l="1"/>
  <c r="G194" i="6"/>
  <c r="F194" i="6"/>
  <c r="E194" i="6"/>
  <c r="D194" i="6"/>
  <c r="E195" i="6" l="1"/>
  <c r="B196" i="6"/>
  <c r="G195" i="6"/>
  <c r="D195" i="6"/>
  <c r="F195" i="6"/>
  <c r="G196" i="6" l="1"/>
  <c r="E196" i="6"/>
  <c r="D196" i="6"/>
  <c r="B197" i="6"/>
  <c r="F196" i="6"/>
  <c r="B198" i="6" l="1"/>
  <c r="G197" i="6"/>
  <c r="F197" i="6"/>
  <c r="E197" i="6"/>
  <c r="D197" i="6"/>
  <c r="B199" i="6" l="1"/>
  <c r="G198" i="6"/>
  <c r="F198" i="6"/>
  <c r="E198" i="6"/>
  <c r="D198" i="6"/>
  <c r="E199" i="6" l="1"/>
  <c r="D199" i="6"/>
  <c r="F199" i="6"/>
  <c r="B200" i="6"/>
  <c r="G199" i="6"/>
  <c r="G200" i="6" l="1"/>
  <c r="B201" i="6"/>
  <c r="F200" i="6"/>
  <c r="E200" i="6"/>
  <c r="D200" i="6"/>
  <c r="B202" i="6" l="1"/>
  <c r="G201" i="6"/>
  <c r="F201" i="6"/>
  <c r="E201" i="6"/>
  <c r="D201" i="6"/>
  <c r="D202" i="6" l="1"/>
  <c r="G202" i="6"/>
  <c r="B203" i="6"/>
  <c r="F202" i="6"/>
  <c r="E202" i="6"/>
  <c r="E203" i="6" l="1"/>
  <c r="G203" i="6"/>
  <c r="F203" i="6"/>
  <c r="D203" i="6"/>
  <c r="B204" i="6"/>
  <c r="G204" i="6" l="1"/>
  <c r="B205" i="6"/>
  <c r="F204" i="6"/>
  <c r="D204" i="6"/>
  <c r="E204" i="6"/>
  <c r="D205" i="6" l="1"/>
  <c r="B206" i="6"/>
  <c r="G205" i="6"/>
  <c r="F205" i="6"/>
  <c r="E205" i="6"/>
  <c r="F206" i="6" l="1"/>
  <c r="E206" i="6"/>
  <c r="D206" i="6"/>
  <c r="G206" i="6"/>
  <c r="B207" i="6"/>
  <c r="E207" i="6" l="1"/>
  <c r="B208" i="6"/>
  <c r="G207" i="6"/>
  <c r="F207" i="6"/>
  <c r="D207" i="6"/>
  <c r="G208" i="6" l="1"/>
  <c r="B209" i="6"/>
  <c r="F208" i="6"/>
  <c r="E208" i="6"/>
  <c r="D208" i="6"/>
  <c r="F209" i="6" l="1"/>
  <c r="E209" i="6"/>
  <c r="D209" i="6"/>
  <c r="B210" i="6"/>
  <c r="G209" i="6"/>
  <c r="B211" i="6" l="1"/>
  <c r="G210" i="6"/>
  <c r="F210" i="6"/>
  <c r="E210" i="6"/>
  <c r="D210" i="6"/>
  <c r="E211" i="6" l="1"/>
  <c r="B212" i="6"/>
  <c r="F211" i="6"/>
  <c r="D211" i="6"/>
  <c r="G211" i="6"/>
  <c r="G212" i="6" l="1"/>
  <c r="E212" i="6"/>
  <c r="D212" i="6"/>
  <c r="F212" i="6"/>
  <c r="B213" i="6"/>
  <c r="B214" i="6" l="1"/>
  <c r="G213" i="6"/>
  <c r="F213" i="6"/>
  <c r="E213" i="6"/>
  <c r="D213" i="6"/>
  <c r="B215" i="6" l="1"/>
  <c r="G214" i="6"/>
  <c r="D214" i="6"/>
  <c r="E214" i="6"/>
  <c r="F214" i="6"/>
  <c r="E215" i="6" l="1"/>
  <c r="D215" i="6"/>
  <c r="B216" i="6"/>
  <c r="G215" i="6"/>
  <c r="F215" i="6"/>
  <c r="G216" i="6" l="1"/>
  <c r="B217" i="6"/>
  <c r="F216" i="6"/>
  <c r="E216" i="6"/>
  <c r="D216" i="6"/>
  <c r="B218" i="6" l="1"/>
  <c r="G217" i="6"/>
  <c r="F217" i="6"/>
  <c r="E217" i="6"/>
  <c r="D217" i="6"/>
  <c r="D218" i="6" l="1"/>
  <c r="B219" i="6"/>
  <c r="G218" i="6"/>
  <c r="F218" i="6"/>
  <c r="E218" i="6"/>
  <c r="E219" i="6" l="1"/>
  <c r="G219" i="6"/>
  <c r="F219" i="6"/>
  <c r="D219" i="6"/>
  <c r="B220" i="6"/>
  <c r="G220" i="6" l="1"/>
  <c r="B221" i="6"/>
  <c r="F220" i="6"/>
  <c r="E220" i="6"/>
  <c r="D220" i="6"/>
  <c r="D221" i="6" l="1"/>
  <c r="F221" i="6"/>
  <c r="E221" i="6"/>
  <c r="B222" i="6"/>
  <c r="G221" i="6"/>
  <c r="F222" i="6" l="1"/>
  <c r="E222" i="6"/>
  <c r="D222" i="6"/>
  <c r="B223" i="6"/>
  <c r="G222" i="6"/>
  <c r="E223" i="6" l="1"/>
  <c r="B224" i="6"/>
  <c r="G223" i="6"/>
  <c r="F223" i="6"/>
  <c r="D223" i="6"/>
  <c r="G224" i="6" l="1"/>
  <c r="B225" i="6"/>
  <c r="F224" i="6"/>
  <c r="D224" i="6"/>
  <c r="E224" i="6"/>
  <c r="F225" i="6" l="1"/>
  <c r="E225" i="6"/>
  <c r="D225" i="6"/>
  <c r="B226" i="6"/>
  <c r="G225" i="6"/>
  <c r="B227" i="6" l="1"/>
  <c r="G226" i="6"/>
  <c r="F226" i="6"/>
  <c r="E226" i="6"/>
  <c r="D226" i="6"/>
  <c r="E227" i="6" l="1"/>
  <c r="B228" i="6"/>
  <c r="G227" i="6"/>
  <c r="D227" i="6"/>
  <c r="F227" i="6"/>
  <c r="G228" i="6" l="1"/>
  <c r="E228" i="6"/>
  <c r="D228" i="6"/>
  <c r="B229" i="6"/>
  <c r="F228" i="6"/>
  <c r="B230" i="6" l="1"/>
  <c r="G229" i="6"/>
  <c r="F229" i="6"/>
  <c r="E229" i="6"/>
  <c r="D229" i="6"/>
  <c r="B231" i="6" l="1"/>
  <c r="G230" i="6"/>
  <c r="F230" i="6"/>
  <c r="E230" i="6"/>
  <c r="D230" i="6"/>
  <c r="E231" i="6" l="1"/>
  <c r="D231" i="6"/>
  <c r="F231" i="6"/>
  <c r="B232" i="6"/>
  <c r="G231" i="6"/>
  <c r="G232" i="6" l="1"/>
  <c r="B233" i="6"/>
  <c r="F232" i="6"/>
  <c r="E232" i="6"/>
  <c r="D232" i="6"/>
  <c r="B234" i="6" l="1"/>
  <c r="G233" i="6"/>
  <c r="F233" i="6"/>
  <c r="E233" i="6"/>
  <c r="D233" i="6"/>
  <c r="D234" i="6" l="1"/>
  <c r="G234" i="6"/>
  <c r="B235" i="6"/>
  <c r="F234" i="6"/>
  <c r="E234" i="6"/>
  <c r="E235" i="6" l="1"/>
  <c r="G235" i="6"/>
  <c r="F235" i="6"/>
  <c r="D235" i="6"/>
  <c r="B236" i="6"/>
  <c r="G236" i="6" l="1"/>
  <c r="B237" i="6"/>
  <c r="F236" i="6"/>
  <c r="D236" i="6"/>
  <c r="E236" i="6"/>
  <c r="D237" i="6" l="1"/>
  <c r="B238" i="6"/>
  <c r="G237" i="6"/>
  <c r="F237" i="6"/>
  <c r="E237" i="6"/>
  <c r="F238" i="6" l="1"/>
  <c r="E238" i="6"/>
  <c r="D238" i="6"/>
  <c r="G238" i="6"/>
  <c r="B239" i="6"/>
  <c r="E239" i="6" l="1"/>
  <c r="B240" i="6"/>
  <c r="G239" i="6"/>
  <c r="F239" i="6"/>
  <c r="D239" i="6"/>
  <c r="G240" i="6" l="1"/>
  <c r="B241" i="6"/>
  <c r="F240" i="6"/>
  <c r="E240" i="6"/>
  <c r="D240" i="6"/>
  <c r="F241" i="6" l="1"/>
  <c r="E241" i="6"/>
  <c r="D241" i="6"/>
  <c r="G241" i="6"/>
  <c r="B242" i="6"/>
  <c r="B243" i="6" l="1"/>
  <c r="G242" i="6"/>
  <c r="F242" i="6"/>
  <c r="E242" i="6"/>
  <c r="D242" i="6"/>
  <c r="E243" i="6" l="1"/>
  <c r="B244" i="6"/>
  <c r="F243" i="6"/>
  <c r="D243" i="6"/>
  <c r="G243" i="6"/>
  <c r="G244" i="6" l="1"/>
  <c r="E244" i="6"/>
  <c r="D244" i="6"/>
  <c r="F244" i="6"/>
  <c r="B245" i="6"/>
  <c r="B246" i="6" l="1"/>
  <c r="G245" i="6"/>
  <c r="F245" i="6"/>
  <c r="E245" i="6"/>
  <c r="D245" i="6"/>
  <c r="B247" i="6" l="1"/>
  <c r="G246" i="6"/>
  <c r="D246" i="6"/>
  <c r="E246" i="6"/>
  <c r="F246" i="6"/>
  <c r="E247" i="6" l="1"/>
  <c r="D247" i="6"/>
  <c r="B248" i="6"/>
  <c r="G247" i="6"/>
  <c r="F247" i="6"/>
  <c r="G248" i="6" l="1"/>
  <c r="B249" i="6"/>
  <c r="F248" i="6"/>
  <c r="E248" i="6"/>
  <c r="D248" i="6"/>
  <c r="B250" i="6" l="1"/>
  <c r="G249" i="6"/>
  <c r="E249" i="6"/>
  <c r="F249" i="6"/>
  <c r="D249" i="6"/>
  <c r="D250" i="6" l="1"/>
  <c r="B251" i="6"/>
  <c r="G250" i="6"/>
  <c r="F250" i="6"/>
  <c r="E250" i="6"/>
  <c r="E251" i="6" l="1"/>
  <c r="G251" i="6"/>
  <c r="F251" i="6"/>
  <c r="D251" i="6"/>
  <c r="B252" i="6"/>
  <c r="G252" i="6" l="1"/>
  <c r="B253" i="6"/>
  <c r="F252" i="6"/>
  <c r="E252" i="6"/>
  <c r="D252" i="6"/>
  <c r="D253" i="6" l="1"/>
  <c r="F253" i="6"/>
  <c r="E253" i="6"/>
  <c r="G253" i="6"/>
  <c r="B254" i="6"/>
  <c r="F254" i="6" l="1"/>
  <c r="E254" i="6"/>
  <c r="D254" i="6"/>
  <c r="B255" i="6"/>
  <c r="G254" i="6"/>
  <c r="E255" i="6" l="1"/>
  <c r="B256" i="6"/>
  <c r="G255" i="6"/>
  <c r="F255" i="6"/>
  <c r="D255" i="6"/>
  <c r="G256" i="6" l="1"/>
  <c r="F256" i="6"/>
  <c r="E256" i="6"/>
  <c r="D25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Batuhan Sarı</author>
  </authors>
  <commentList>
    <comment ref="D4" authorId="0" shapeId="0" xr:uid="{7F60D0FD-9A70-4148-9954-2AB1F36B2EF7}">
      <text>
        <r>
          <rPr>
            <b/>
            <sz val="9"/>
            <color indexed="81"/>
            <rFont val="Tahoma"/>
            <family val="2"/>
            <charset val="162"/>
          </rPr>
          <t>Source: Trading Economics (TÜİK/SBB), https://tradingeconomics.com/turkey/gdp-growth</t>
        </r>
      </text>
    </comment>
    <comment ref="E4" authorId="0" shapeId="0" xr:uid="{8602195E-3E42-4567-A1DA-19E7336C6EF8}">
      <text>
        <r>
          <rPr>
            <b/>
            <sz val="9"/>
            <color indexed="81"/>
            <rFont val="Tahoma"/>
            <family val="2"/>
            <charset val="162"/>
          </rPr>
          <t>Source: Trading Economics (TÜİK/SBB), https://tradingeconomics.com/turkey/gdp-growth</t>
        </r>
      </text>
    </comment>
    <comment ref="F4" authorId="0" shapeId="0" xr:uid="{20881D89-93B8-476D-9D71-7B693FEDBF9C}">
      <text>
        <r>
          <rPr>
            <b/>
            <sz val="9"/>
            <color indexed="81"/>
            <rFont val="Tahoma"/>
            <family val="2"/>
            <charset val="162"/>
          </rPr>
          <t>Source: Trading Economics (TÜİK/SBB), https://tradingeconomics.com/turkey/gdp-growth</t>
        </r>
      </text>
    </comment>
    <comment ref="G4" authorId="0" shapeId="0" xr:uid="{12D91021-4E37-494A-9860-3821295B6144}">
      <text>
        <r>
          <rPr>
            <b/>
            <sz val="9"/>
            <color indexed="81"/>
            <rFont val="Tahoma"/>
            <family val="2"/>
            <charset val="162"/>
          </rPr>
          <t>Source: Trading Economics (TÜİK/SBB), https://tradingeconomics.com/turkey/gdp-growth</t>
        </r>
      </text>
    </comment>
    <comment ref="D5" authorId="0" shapeId="0" xr:uid="{FBED3F93-A55E-4045-B605-8EE35A8FD4A1}">
      <text>
        <r>
          <rPr>
            <b/>
            <sz val="9"/>
            <color indexed="81"/>
            <rFont val="Tahoma"/>
            <family val="2"/>
            <charset val="162"/>
          </rPr>
          <t>Source: Trading Economics (TÜİK/SBB), https://tradingeconomics.com/turkey/gdp-growth</t>
        </r>
      </text>
    </comment>
    <comment ref="E5" authorId="0" shapeId="0" xr:uid="{886C6866-5ABC-4B00-BFF1-7A1D9CCCCA0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5" authorId="0" shapeId="0" xr:uid="{BB967574-5E88-4E3A-B5CA-47F38C27001D}">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5" authorId="0" shapeId="0" xr:uid="{7FCB8241-6391-4E43-A9AA-2C89C2FCD00A}">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6" authorId="0" shapeId="0" xr:uid="{A0B12738-2677-41D8-9A3A-0FCA5727647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6" authorId="0" shapeId="0" xr:uid="{B6635D7C-0DAF-4596-A4E5-BBF986AA1FB3}">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6" authorId="0" shapeId="0" xr:uid="{3CD52F3C-C215-4B77-A06C-84D5A23E8DAC}">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6" authorId="0" shapeId="0" xr:uid="{D22B455A-E3CC-44BF-B4A8-7AB56A8B7DB5}">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7" authorId="0" shapeId="0" xr:uid="{714F87EC-58F1-4E6B-B995-3FB24DB4F02D}">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7" authorId="0" shapeId="0" xr:uid="{DB2850BB-8AE2-4697-A182-7F7042E1F0D4}">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7" authorId="0" shapeId="0" xr:uid="{58768F5D-22DC-4CBA-A8CB-568091A550D7}">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7" authorId="0" shapeId="0" xr:uid="{8A7692EA-27F9-4952-8526-712A91DE4DF3}">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8" authorId="0" shapeId="0" xr:uid="{101684D0-99D4-4471-9207-9E27A6DE0D65}">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8" authorId="0" shapeId="0" xr:uid="{5CECA0F8-BEEF-4DF0-9AA8-587509B06B4D}">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8" authorId="0" shapeId="0" xr:uid="{C111E3E9-DE93-477F-8CDE-19DCB0079305}">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8" authorId="0" shapeId="0" xr:uid="{35FBD029-E722-403D-A1D2-914F1D541E7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9" authorId="0" shapeId="0" xr:uid="{6264BFDD-6E67-495F-8AB0-B7A5B224682A}">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9" authorId="0" shapeId="0" xr:uid="{FD81BCC1-1C7A-47D4-8BD9-9EE425D4455D}">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9" authorId="0" shapeId="0" xr:uid="{25D81C52-3D00-4C83-9401-0C6A0D1FBEA8}">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9" authorId="0" shapeId="0" xr:uid="{9634001F-DA27-4007-BA6F-E58A634D7D77}">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10" authorId="0" shapeId="0" xr:uid="{285B886F-B563-4291-BE2E-FC9CF2CA5AEB}">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10" authorId="0" shapeId="0" xr:uid="{637EB1F6-BDF8-4ECD-A4B5-CCA444C21F8C}">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10" authorId="0" shapeId="0" xr:uid="{56741C1A-9EFB-4211-9CD2-0E1D2835525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10" authorId="0" shapeId="0" xr:uid="{2B684522-BBE6-45BE-B32D-1DCAE6E96055}">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11" authorId="0" shapeId="0" xr:uid="{BA2B03DD-C64B-4B89-8FC9-FEAD544ACDDC}">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11" authorId="0" shapeId="0" xr:uid="{E7356873-075E-44F9-A022-13F58010A22A}">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11" authorId="0" shapeId="0" xr:uid="{165B8CFF-1BCE-42AE-9F44-95AEAC328A1D}">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11" authorId="0" shapeId="0" xr:uid="{62099E77-1820-4A77-ABE1-0126B39F6753}">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12" authorId="0" shapeId="0" xr:uid="{9E0B2496-B111-4CFE-9C58-F96AFFB9F19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12" authorId="0" shapeId="0" xr:uid="{22546DA4-7986-45C9-B14A-EEC98B451E5A}">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12" authorId="0" shapeId="0" xr:uid="{056270F8-6798-4569-AC37-9E2F56721BA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12" authorId="0" shapeId="0" xr:uid="{0D280B3A-BA8B-4C63-ACBE-9EE212E87242}">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13" authorId="0" shapeId="0" xr:uid="{FEC8414F-BB94-4589-B9BA-717AB416768B}">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13" authorId="0" shapeId="0" xr:uid="{555FA85F-FB7D-4935-9A88-B04AAE50AD43}">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13" authorId="0" shapeId="0" xr:uid="{17251E5F-7B4F-4577-BA2B-1F6E86AF5A0C}">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13" authorId="0" shapeId="0" xr:uid="{EB3B2BCE-9387-4340-A981-63FFA4C5EBD3}">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D14" authorId="0" shapeId="0" xr:uid="{3CF01ED5-9996-4D4E-A7B8-6EF8619BAEF6}">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E14" authorId="0" shapeId="0" xr:uid="{C0271469-331F-4A09-BFAA-8528116FB756}">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F14" authorId="0" shapeId="0" xr:uid="{A54175D6-25F4-423C-B9DF-835337225626}">
      <text>
        <r>
          <rPr>
            <b/>
            <sz val="9"/>
            <color indexed="81"/>
            <rFont val="Tahoma"/>
            <family val="2"/>
            <charset val="162"/>
          </rPr>
          <t>Batuhan Sarı:</t>
        </r>
        <r>
          <rPr>
            <sz val="9"/>
            <color indexed="81"/>
            <rFont val="Tahoma"/>
            <family val="2"/>
            <charset val="162"/>
          </rPr>
          <t xml:space="preserve">
Source: Trading Economics (TÜİK/SBB), https://tradingeconomics.com/turkey/gdp-growth</t>
        </r>
      </text>
    </comment>
    <comment ref="G14" authorId="0" shapeId="0" xr:uid="{B6D6D0E1-B6D1-459B-B709-638A626CB2BC}">
      <text>
        <r>
          <rPr>
            <b/>
            <sz val="9"/>
            <color indexed="81"/>
            <rFont val="Tahoma"/>
            <family val="2"/>
            <charset val="162"/>
          </rPr>
          <t>Batuhan Sarı:</t>
        </r>
        <r>
          <rPr>
            <sz val="9"/>
            <color indexed="81"/>
            <rFont val="Tahoma"/>
            <family val="2"/>
            <charset val="162"/>
          </rPr>
          <t xml:space="preserve">
Source: Trading Economics (TÜİK), https://tradingeconomics.com/turkey/gdp-growth</t>
        </r>
      </text>
    </comment>
  </commentList>
</comments>
</file>

<file path=xl/sharedStrings.xml><?xml version="1.0" encoding="utf-8"?>
<sst xmlns="http://schemas.openxmlformats.org/spreadsheetml/2006/main" count="1256" uniqueCount="545">
  <si>
    <t>Amazon</t>
  </si>
  <si>
    <t>Nike</t>
  </si>
  <si>
    <t>Walmart</t>
  </si>
  <si>
    <t>Region</t>
  </si>
  <si>
    <t>Category</t>
  </si>
  <si>
    <t>Books</t>
  </si>
  <si>
    <t>Australia</t>
  </si>
  <si>
    <t>Transfer</t>
  </si>
  <si>
    <t>Alice</t>
  </si>
  <si>
    <t>Rank</t>
  </si>
  <si>
    <t>Person Name</t>
  </si>
  <si>
    <t>Country</t>
  </si>
  <si>
    <t>City</t>
  </si>
  <si>
    <t>Source</t>
  </si>
  <si>
    <t>Industries</t>
  </si>
  <si>
    <t>Self Made</t>
  </si>
  <si>
    <t>Gender</t>
  </si>
  <si>
    <t>Lastname</t>
  </si>
  <si>
    <t>Firstname</t>
  </si>
  <si>
    <t>Finalworth</t>
  </si>
  <si>
    <t>Age</t>
  </si>
  <si>
    <t>Bernard Arnault</t>
  </si>
  <si>
    <t>Fashion &amp; Retail</t>
  </si>
  <si>
    <t>France</t>
  </si>
  <si>
    <t>EMEA</t>
  </si>
  <si>
    <t>Paris</t>
  </si>
  <si>
    <t>LVMH</t>
  </si>
  <si>
    <t>False</t>
  </si>
  <si>
    <t>Male</t>
  </si>
  <si>
    <t>Arnault</t>
  </si>
  <si>
    <t>Bernard</t>
  </si>
  <si>
    <t>Elon Musk</t>
  </si>
  <si>
    <t>Automotive</t>
  </si>
  <si>
    <t>United States</t>
  </si>
  <si>
    <t>NA</t>
  </si>
  <si>
    <t>Austin</t>
  </si>
  <si>
    <t>Tesla, SpaceX</t>
  </si>
  <si>
    <t>True</t>
  </si>
  <si>
    <t>Musk</t>
  </si>
  <si>
    <t>Elon</t>
  </si>
  <si>
    <t>Jeff Bezos</t>
  </si>
  <si>
    <t>Technology</t>
  </si>
  <si>
    <t>Medina</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</si>
  <si>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</si>
  <si>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</si>
  <si>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</si>
  <si>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</si>
  <si>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</si>
  <si>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</si>
  <si>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</si>
  <si>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</si>
  <si>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</si>
  <si>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</si>
  <si>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</si>
  <si>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</si>
  <si>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</si>
  <si>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</si>
  <si>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</si>
  <si>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</si>
  <si>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</si>
  <si>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</si>
  <si>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</si>
  <si>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</si>
  <si>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</si>
  <si>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</si>
  <si>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</si>
  <si>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Carlos Slim</t>
  </si>
  <si>
    <t>Telecom</t>
  </si>
  <si>
    <t>Mexico</t>
  </si>
  <si>
    <t>Mexico City</t>
  </si>
  <si>
    <t>Slim Helu</t>
  </si>
  <si>
    <t>Carlos</t>
  </si>
  <si>
    <t>Mukesh Ambani</t>
  </si>
  <si>
    <t>Diversified</t>
  </si>
  <si>
    <t>India</t>
  </si>
  <si>
    <t>APAC</t>
  </si>
  <si>
    <t>Mumbai</t>
  </si>
  <si>
    <t>Ambani</t>
  </si>
  <si>
    <t>Mukesh</t>
  </si>
  <si>
    <t>Steve Ballmer</t>
  </si>
  <si>
    <t>Hunts Point</t>
  </si>
  <si>
    <t>Ballmer</t>
  </si>
  <si>
    <t>Steve</t>
  </si>
  <si>
    <t>Francoise Bettencourt</t>
  </si>
  <si>
    <t>L'Oréal</t>
  </si>
  <si>
    <t>Female</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</si>
  <si>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</si>
  <si>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</si>
  <si>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</si>
  <si>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</si>
  <si>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</si>
  <si>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</si>
  <si>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</si>
  <si>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</si>
  <si>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</si>
  <si>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</si>
  <si>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</si>
  <si>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</si>
  <si>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</si>
  <si>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</si>
  <si>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</si>
  <si>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</si>
  <si>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</si>
  <si>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</si>
  <si>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</si>
  <si>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</si>
  <si>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</si>
  <si>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</si>
  <si>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</si>
  <si>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</si>
  <si>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</si>
  <si>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</si>
  <si>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</si>
  <si>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Charles Koch</t>
  </si>
  <si>
    <t>Wichita</t>
  </si>
  <si>
    <t>Koch Industries</t>
  </si>
  <si>
    <t>Koch</t>
  </si>
  <si>
    <t>Charles</t>
  </si>
  <si>
    <t>Julia Koch</t>
  </si>
  <si>
    <t>Julia</t>
  </si>
  <si>
    <t>Jim Walton</t>
  </si>
  <si>
    <t>Bentonville</t>
  </si>
  <si>
    <t>Walton</t>
  </si>
  <si>
    <t>Jim</t>
  </si>
  <si>
    <t>Rob Walton</t>
  </si>
  <si>
    <t>Rob</t>
  </si>
  <si>
    <t>Alice Walton</t>
  </si>
  <si>
    <t>Fort Worth</t>
  </si>
  <si>
    <t>David Thomson</t>
  </si>
  <si>
    <t>Canada</t>
  </si>
  <si>
    <t>Toronto</t>
  </si>
  <si>
    <t>Thomson</t>
  </si>
  <si>
    <t>David</t>
  </si>
  <si>
    <t>Michael Dell</t>
  </si>
  <si>
    <t>Dell Technologies</t>
  </si>
  <si>
    <t>Dell</t>
  </si>
  <si>
    <t>Gautam Adani</t>
  </si>
  <si>
    <t>Ahmedabad</t>
  </si>
  <si>
    <t>Infrastructure, commodities</t>
  </si>
  <si>
    <t>Adani</t>
  </si>
  <si>
    <t>Gautam</t>
  </si>
  <si>
    <t>Phil Knight</t>
  </si>
  <si>
    <t>Hillsboro</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</si>
  <si>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</si>
  <si>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</si>
  <si>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</si>
  <si>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</si>
  <si>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</si>
  <si>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</si>
  <si>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</si>
  <si>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</si>
  <si>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</si>
  <si>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</si>
  <si>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</si>
  <si>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</si>
  <si>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</si>
  <si>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</si>
  <si>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</si>
  <si>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</si>
  <si>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</si>
  <si>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</si>
  <si>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</si>
  <si>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</si>
  <si>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</si>
  <si>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</si>
  <si>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</si>
  <si>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</si>
  <si>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</si>
  <si>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</si>
  <si>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</si>
  <si>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</si>
  <si>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</si>
  <si>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</si>
  <si>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</si>
  <si>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</si>
  <si>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</si>
  <si>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</si>
  <si>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</si>
  <si>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</si>
  <si>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</si>
  <si>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</si>
  <si>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</si>
  <si>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</si>
  <si>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</si>
  <si>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</si>
  <si>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</si>
  <si>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</si>
  <si>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</si>
  <si>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</si>
  <si>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</si>
  <si>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</si>
  <si>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</si>
  <si>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</si>
  <si>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</si>
  <si>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</si>
  <si>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</si>
  <si>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</si>
  <si>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</si>
  <si>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</si>
  <si>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</si>
  <si>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</si>
  <si>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</si>
  <si>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</si>
  <si>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</si>
  <si>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</si>
  <si>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</si>
  <si>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</si>
  <si>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</si>
  <si>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</si>
  <si>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</si>
  <si>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</si>
  <si>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</si>
  <si>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</si>
  <si>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</si>
  <si>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</si>
  <si>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</si>
  <si>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</si>
  <si>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</si>
  <si>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</si>
  <si>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</si>
  <si>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</si>
  <si>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</si>
  <si>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</si>
  <si>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</si>
  <si>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</si>
  <si>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</si>
  <si>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</si>
  <si>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</si>
  <si>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</si>
  <si>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</si>
  <si>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</si>
  <si>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</si>
  <si>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</si>
  <si>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</si>
  <si>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</si>
  <si>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</si>
  <si>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</si>
  <si>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</si>
  <si>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</si>
  <si>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</si>
  <si>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</si>
  <si>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</si>
  <si>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</si>
  <si>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</si>
  <si>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</si>
  <si>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</si>
  <si>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</si>
  <si>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</si>
  <si>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</si>
  <si>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</si>
  <si>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</si>
  <si>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</si>
  <si>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</si>
  <si>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</si>
  <si>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</si>
  <si>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</si>
  <si>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</si>
  <si>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</si>
  <si>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</si>
  <si>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</si>
  <si>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</si>
  <si>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</si>
  <si>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</si>
  <si>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</si>
  <si>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</si>
  <si>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</si>
  <si>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</si>
  <si>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</si>
  <si>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</si>
  <si>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</si>
  <si>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</si>
  <si>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</si>
  <si>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</si>
  <si>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</si>
  <si>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</si>
  <si>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</si>
  <si>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</si>
  <si>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</si>
  <si>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</si>
  <si>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</si>
  <si>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</si>
  <si>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</si>
  <si>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</si>
  <si>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</si>
  <si>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</si>
  <si>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</si>
  <si>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</si>
  <si>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</si>
  <si>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</si>
  <si>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</si>
  <si>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</si>
  <si>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</si>
  <si>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</si>
  <si>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</si>
  <si>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</si>
  <si>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</si>
  <si>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</si>
  <si>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</si>
  <si>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</si>
  <si>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</si>
  <si>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</si>
  <si>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</si>
  <si>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</si>
  <si>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</si>
  <si>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</si>
  <si>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</si>
  <si>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</si>
  <si>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</si>
  <si>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</si>
  <si>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</si>
  <si>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</si>
  <si>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</si>
  <si>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</si>
  <si>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</si>
  <si>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</si>
  <si>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</si>
  <si>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</si>
  <si>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</si>
  <si>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</si>
  <si>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</si>
  <si>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</si>
  <si>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</si>
  <si>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</si>
  <si>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</si>
  <si>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LATAM</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</si>
  <si>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</si>
  <si>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</si>
  <si>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</si>
  <si>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</si>
  <si>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</si>
  <si>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</si>
  <si>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</si>
  <si>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</si>
  <si>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</si>
  <si>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</si>
  <si>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</si>
  <si>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</si>
  <si>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</si>
  <si>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</si>
  <si>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</si>
  <si>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</si>
  <si>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</si>
  <si>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</si>
  <si>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</si>
  <si>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</si>
  <si>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</si>
  <si>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</si>
  <si>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</si>
  <si>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</si>
  <si>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</si>
  <si>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</si>
  <si>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</si>
  <si>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</si>
  <si>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</si>
  <si>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</si>
  <si>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</si>
  <si>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</si>
  <si>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</si>
  <si>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</si>
  <si>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</si>
  <si>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</si>
  <si>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</si>
  <si>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</si>
  <si>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</si>
  <si>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</si>
  <si>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</si>
  <si>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</si>
  <si>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</si>
  <si>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</si>
  <si>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</si>
  <si>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</si>
  <si>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</si>
  <si>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</si>
  <si>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</si>
  <si>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</si>
  <si>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</si>
  <si>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</si>
  <si>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</si>
  <si>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</si>
  <si>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</si>
  <si>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</si>
  <si>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</si>
  <si>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</si>
  <si>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</si>
  <si>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</si>
  <si>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</si>
  <si>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</si>
  <si>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</si>
  <si>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</si>
  <si>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</si>
  <si>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</si>
  <si>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</si>
  <si>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</si>
  <si>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</si>
  <si>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</si>
  <si>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</si>
  <si>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</si>
  <si>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</si>
  <si>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</si>
  <si>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</si>
  <si>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</si>
  <si>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</si>
  <si>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</si>
  <si>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</si>
  <si>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</si>
  <si>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</si>
  <si>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</si>
  <si>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</si>
  <si>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</si>
  <si>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</si>
  <si>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</si>
  <si>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</si>
  <si>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</si>
  <si>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</si>
  <si>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</si>
  <si>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</si>
  <si>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</si>
  <si>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</si>
  <si>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</si>
  <si>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</si>
  <si>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</si>
  <si>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</si>
  <si>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</si>
  <si>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</si>
  <si>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</si>
  <si>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</si>
  <si>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</si>
  <si>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</si>
  <si>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</si>
  <si>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</si>
  <si>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</si>
  <si>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</si>
  <si>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</si>
  <si>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</si>
  <si>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</si>
  <si>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</si>
  <si>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</si>
  <si>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</si>
  <si>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</si>
  <si>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</si>
  <si>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</si>
  <si>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</si>
  <si>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</si>
  <si>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</si>
  <si>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</si>
  <si>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</si>
  <si>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</si>
  <si>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</si>
  <si>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</si>
  <si>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</si>
  <si>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</si>
  <si>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</si>
  <si>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</si>
  <si>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</si>
  <si>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</si>
  <si>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</si>
  <si>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</si>
  <si>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</si>
  <si>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</si>
  <si>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</si>
  <si>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</si>
  <si>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</si>
  <si>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</si>
  <si>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High / Low</t>
  </si>
  <si>
    <t>Sample Prompt:</t>
  </si>
  <si>
    <t>Şirket</t>
  </si>
  <si>
    <t>İsim</t>
  </si>
  <si>
    <t>Adet</t>
  </si>
  <si>
    <t>Sipariş Tarihi</t>
  </si>
  <si>
    <t>Arçelik</t>
  </si>
  <si>
    <t>Beko</t>
  </si>
  <si>
    <t>Vestel</t>
  </si>
  <si>
    <t>Altus</t>
  </si>
  <si>
    <t>Hoover</t>
  </si>
  <si>
    <t>Grundig</t>
  </si>
  <si>
    <t>Kaan Tangöze</t>
  </si>
  <si>
    <t>Can Baydar</t>
  </si>
  <si>
    <t>Fatma Turgut</t>
  </si>
  <si>
    <t>Nazan Öncel</t>
  </si>
  <si>
    <t>Q1</t>
  </si>
  <si>
    <t>Q2</t>
  </si>
  <si>
    <t>Q3</t>
  </si>
  <si>
    <t>Q4</t>
  </si>
  <si>
    <t>YEAR</t>
  </si>
  <si>
    <t>Ödeme</t>
  </si>
  <si>
    <t>Kart</t>
  </si>
  <si>
    <t>Kar</t>
  </si>
  <si>
    <t>Kategori</t>
  </si>
  <si>
    <t>Bölge</t>
  </si>
  <si>
    <t>Müşteri</t>
  </si>
  <si>
    <t>Emir</t>
  </si>
  <si>
    <t>Giray</t>
  </si>
  <si>
    <t>Ali</t>
  </si>
  <si>
    <t>Mert</t>
  </si>
  <si>
    <t>Batu</t>
  </si>
  <si>
    <t>Julya</t>
  </si>
  <si>
    <t>Can</t>
  </si>
  <si>
    <t>Feyza</t>
  </si>
  <si>
    <t>Onur</t>
  </si>
  <si>
    <t>Leyla</t>
  </si>
  <si>
    <t>Kitap</t>
  </si>
  <si>
    <t>Asya</t>
  </si>
  <si>
    <t>Avrupa</t>
  </si>
  <si>
    <t>Kıyafet</t>
  </si>
  <si>
    <t>Oyuncak</t>
  </si>
  <si>
    <t>Kozmetik</t>
  </si>
  <si>
    <t>Elektronik</t>
  </si>
  <si>
    <t>Mobilya</t>
  </si>
  <si>
    <t>Gıda</t>
  </si>
  <si>
    <t>Adet Ücreti</t>
  </si>
  <si>
    <r>
      <rPr>
        <b/>
        <sz val="12"/>
        <color theme="1"/>
        <rFont val="Aptos Narrow"/>
        <family val="2"/>
        <scheme val="minor"/>
      </rPr>
      <t xml:space="preserve">Prompt:  </t>
    </r>
    <r>
      <rPr>
        <sz val="12"/>
        <color theme="1"/>
        <rFont val="Aptos Narrow"/>
        <family val="2"/>
        <scheme val="minor"/>
      </rPr>
      <t>Fix the typos in names, numbers, and dates in the current sheet.</t>
    </r>
  </si>
  <si>
    <t>600.000 dolarlık, %5 faiz (sabit) oranlı ve 20 yıl vadeli bir konut kredim (mortgage) var. Kalan bakiyeyi ve ödeme dökümünü (ana para vs. faiz) gösteren bir amortisman tablosu oluşturun</t>
  </si>
  <si>
    <t>A $600k and a 20-year mortgage with a 5% interest. Create an amortization table breaking down the outstanding balance, and the interest payment breakdown (principal vs interest).</t>
  </si>
  <si>
    <t>Prompt: Based on this list of rich and successful people, develop an understanding of how to become rich. Determine which profile in terms of gender background and other factors is likelier to be rich. State your opinion using graphics. Create them on the sheet.</t>
  </si>
  <si>
    <t>Bu zengin ve başarılı kişiler listesine dayanarak, nasıl zengin olunacağına dair bir anlayış geliştirin. Cinsiyet, geçmiş (köken) ve diğer faktörler açısından hangi profilin zengin olma ihtimalinin daha yüksek olduğunu belirleyin. Bu fikri üç adet grafik oluşturarak belirt. Grafikleri bu sayfa da oluştur.</t>
  </si>
  <si>
    <t>Kalben Sağdıç</t>
  </si>
  <si>
    <t>Harun Tekin</t>
  </si>
  <si>
    <t>Annual Interest Rate</t>
  </si>
  <si>
    <t>Loan Term (Years)</t>
  </si>
  <si>
    <t>Payments Per Year</t>
  </si>
  <si>
    <t>Monthly Payment</t>
  </si>
  <si>
    <t>Month</t>
  </si>
  <si>
    <t>Payment</t>
  </si>
  <si>
    <t>Principal</t>
  </si>
  <si>
    <t>Interest</t>
  </si>
  <si>
    <t>Outstanding Balance</t>
  </si>
  <si>
    <t>Cumulative Interest</t>
  </si>
  <si>
    <t>Summary</t>
  </si>
  <si>
    <t>Total Payments</t>
  </si>
  <si>
    <t>Total Interest</t>
  </si>
  <si>
    <t>Interest / Loan</t>
  </si>
  <si>
    <t>Self-Made</t>
  </si>
  <si>
    <t>Inherited</t>
  </si>
  <si>
    <t>Total</t>
  </si>
  <si>
    <t>Industry</t>
  </si>
  <si>
    <t>Count</t>
  </si>
  <si>
    <t>Age Group</t>
  </si>
  <si>
    <t>&lt;40</t>
  </si>
  <si>
    <t>40-49</t>
  </si>
  <si>
    <t>50-59</t>
  </si>
  <si>
    <t>60-69</t>
  </si>
  <si>
    <t>70-79</t>
  </si>
  <si>
    <t>80+</t>
  </si>
  <si>
    <t>Others (22 countries)</t>
  </si>
  <si>
    <r>
      <t xml:space="preserve">Prompt: </t>
    </r>
    <r>
      <rPr>
        <sz val="12"/>
        <color theme="1"/>
        <rFont val="Aptos Narrow"/>
        <family val="2"/>
        <scheme val="minor"/>
      </rPr>
      <t>Import the 'Trading Economics’ data from the website 'https://tr.tradingeconomics.com/turkey/gdp-growth ' about quarterly growth over the years from 2015 to 2025 for all quarters separately. Then color each cell to differentiate them based on being positive or negative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</si>
</sst>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_ ;\-#,##0\ "/>
    <numFmt numFmtId="166" formatCode="&quot;$&quot;#,##0"/>
    <numFmt numFmtId="167" formatCode="&quot;$&quot;#,##0.00"/>
    <numFmt numFmtId="168" formatCode="0.0%"/>
  </numFmts>
  <fonts count="16" x14ac:knownFonts="1">
    <font>
      <sz val="12"/>
      <color theme="1"/>
      <name val="Aptos Narrow"/>
      <family val="2"/>
      <scheme val="minor"/>
    </font>
    <font>
      <sz val="12"/>
      <color theme="1"/>
      <name val="Aptos Narrow"/>
      <family val="2"/>
      <scheme val="minor"/>
    </font>
    <font>
      <b/>
      <sz val="12"/>
      <color theme="0"/>
      <name val="Aptos Narrow"/>
      <family val="2"/>
      <scheme val="minor"/>
    </font>
    <font>
      <sz val="12"/>
      <color rgb="FF000000"/>
      <name val="Aptos Narrow"/>
      <family val="2"/>
      <scheme val="minor"/>
    </font>
    <font>
      <b/>
      <sz val="11"/>
      <color theme="0"/>
      <name val="Aptos Narrow"/>
      <family val="2"/>
      <scheme val="minor"/>
    </font>
    <font>
      <b/>
      <sz val="12"/>
      <color theme="0"/>
      <name val="Aptos Narrow"/>
      <family val="2"/>
      <scheme val="minor"/>
    </font>
    <font>
      <b/>
      <sz val="12"/>
      <color theme="1"/>
      <name val="Aptos Narrow"/>
      <family val="2"/>
      <scheme val="minor"/>
    </font>
    <font>
      <u/>
      <sz val="12"/>
      <color theme="10"/>
      <name val="Aptos Narrow"/>
      <family val="2"/>
      <scheme val="minor"/>
    </font>
    <font>
      <b/>
      <sz val="12"/>
      <color theme="1" tint="4.9989318521683403E-2"/>
      <name val="Aptos Narrow"/>
      <family val="2"/>
      <scheme val="minor"/>
    </font>
    <font>
      <b/>
      <sz val="9"/>
      <color indexed="81"/>
      <name val="Tahoma"/>
      <family val="2"/>
      <charset val="162"/>
    </font>
    <font>
      <sz val="9"/>
      <color indexed="81"/>
      <name val="Tahoma"/>
      <family val="2"/>
      <charset val="162"/>
    </font>
    <font>
      <b/>
      <sz val="13"/>
      <color rgb="FF073673"/>
      <name val="Aptos Narrow"/>
      <family val="2"/>
      <scheme val="minor"/>
    </font>
    <font>
      <sz val="12"/>
      <color rgb="FF0000FF"/>
      <name val="Aptos Narrow"/>
      <family val="2"/>
      <scheme val="minor"/>
    </font>
    <font>
      <b/>
      <sz val="12"/>
      <color rgb="FF000000"/>
      <name val="Aptos Narrow"/>
      <family val="2"/>
      <scheme val="minor"/>
    </font>
    <font>
      <b/>
      <sz val="12"/>
      <color rgb="FFFFFFFF"/>
      <name val="Aptos Narrow"/>
      <family val="2"/>
      <scheme val="minor"/>
    </font>
    <font>
      <sz val="12"/>
      <color rgb="FFFF0000"/>
      <name val="Aptos Narrow"/>
      <family val="2"/>
      <scheme val="minor"/>
    </font>
  </fonts>
  <fills count="7">
    <fill>
      <patternFill patternType="none"/>
    </fill>
    <fill>
      <patternFill patternType="gray125"/>
    </fill>
    <fill>
      <patternFill patternType="solid">
        <fgColor rgb="FF073673"/>
        <bgColor indexed="64"/>
      </patternFill>
    </fill>
    <fill>
      <patternFill patternType="solid">
        <fgColor rgb="FF00B050"/>
        <bgColor indexed="64"/>
      </patternFill>
    </fill>
    <fill>
      <patternFill patternType="solid">
        <fgColor rgb="FF002060"/>
        <bgColor indexed="64"/>
      </patternFill>
    </fill>
    <fill>
      <patternFill patternType="solid">
        <fgColor theme="0"/>
        <bgColor indexed="64"/>
      </patternFill>
    </fill>
    <fill>
      <patternFill patternType="solid">
        <fgColor theme="3" tint="0.499984740745262"/>
        <bgColor indexed="64"/>
      </patternFill>
    </fill>
  </fills>
  <borders count="1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164" fontId="1" fillId="0" borderId="0" applyFont="0" applyFill="0" applyBorder="0" applyAlignment="0" applyProtection="0"/>
    <xf numFmtId="0" fontId="1" fillId="0" borderId="0"/>
    <xf numFmtId="0" fontId="1" fillId="0" borderId="0"/>
    <xf numFmtId="0" fontId="7" fillId="0" borderId="0" applyNumberFormat="0" applyFill="0" applyBorder="0" applyAlignment="0" applyProtection="0"/>
  </cellStyleXfs>
  <cellXfs count="51">
    <xf numFmtId="0" fontId="0" fillId="0" borderId="0" xfId="0"/>
    <xf numFmtId="0" fontId="4" fillId="2" borderId="0" xfId="0" applyFont="1" applyFill="1" applyAlignment="1">
      <alignment horizontal="center" vertical="top"/>
    </xf>
    <xf numFmtId="0" fontId="5" fillId="3" borderId="0" xfId="0" applyFont="1" applyFill="1" applyAlignment="1">
      <alignment horizontal="center"/>
    </xf>
    <xf numFmtId="165" fontId="0" fillId="0" borderId="0" xfId="1" applyNumberFormat="1" applyFont="1" applyAlignment="1">
      <alignment horizontal="center"/>
    </xf>
    <xf numFmtId="0" fontId="2" fillId="4" borderId="0" xfId="2" applyFont="1" applyFill="1" applyAlignment="1">
      <alignment horizontal="center"/>
    </xf>
    <xf numFmtId="0" fontId="2" fillId="4" borderId="0" xfId="2" applyFont="1" applyFill="1"/>
    <xf numFmtId="0" fontId="1" fillId="0" borderId="0" xfId="2" applyAlignment="1">
      <alignment horizontal="center"/>
    </xf>
    <xf numFmtId="0" fontId="1" fillId="0" borderId="0" xfId="2"/>
    <xf numFmtId="3" fontId="1" fillId="0" borderId="0" xfId="2" applyNumberFormat="1"/>
    <xf numFmtId="0" fontId="6" fillId="0" borderId="0" xfId="0" applyFont="1"/>
    <xf numFmtId="0" fontId="0" fillId="5" borderId="0" xfId="0" applyFill="1"/>
    <xf numFmtId="0" fontId="0" fillId="0" borderId="1" xfId="0" applyBorder="1"/>
    <xf numFmtId="0" fontId="0" fillId="0" borderId="0" xfId="0" applyAlignment="1">
      <alignment horizontal="left"/>
    </xf>
    <xf numFmtId="3" fontId="0" fillId="0" borderId="0" xfId="0" applyNumberFormat="1" applyAlignment="1">
      <alignment horizontal="right"/>
    </xf>
    <xf numFmtId="14" fontId="0" fillId="0" borderId="2" xfId="0" applyNumberFormat="1" applyBorder="1"/>
    <xf numFmtId="0" fontId="3" fillId="0" borderId="0" xfId="0" applyFont="1" applyAlignment="1">
      <alignment horizontal="left"/>
    </xf>
    <xf numFmtId="0" fontId="0" fillId="0" borderId="2" xfId="0" applyBorder="1" applyAlignment="1">
      <alignment horizontal="right"/>
    </xf>
    <xf numFmtId="14" fontId="0" fillId="0" borderId="2" xfId="0" applyNumberFormat="1" applyBorder="1" applyAlignment="1">
      <alignment horizontal="right"/>
    </xf>
    <xf numFmtId="0" fontId="0" fillId="0" borderId="3" xfId="0" applyBorder="1"/>
    <xf numFmtId="0" fontId="0" fillId="0" borderId="4" xfId="0" applyBorder="1" applyAlignment="1">
      <alignment horizontal="left"/>
    </xf>
    <xf numFmtId="3" fontId="0" fillId="0" borderId="4" xfId="0" applyNumberFormat="1" applyBorder="1" applyAlignment="1">
      <alignment horizontal="right"/>
    </xf>
    <xf numFmtId="14" fontId="0" fillId="0" borderId="5" xfId="0" applyNumberFormat="1" applyBorder="1"/>
    <xf numFmtId="0" fontId="8" fillId="6" borderId="6" xfId="0" applyFont="1" applyFill="1" applyBorder="1"/>
    <xf numFmtId="0" fontId="8" fillId="6" borderId="7" xfId="0" applyFont="1" applyFill="1" applyBorder="1" applyAlignment="1">
      <alignment horizontal="center"/>
    </xf>
    <xf numFmtId="0" fontId="8" fillId="6" borderId="8" xfId="0" applyFont="1" applyFill="1" applyBorder="1"/>
    <xf numFmtId="0" fontId="0" fillId="0" borderId="9" xfId="0" applyBorder="1"/>
    <xf numFmtId="0" fontId="6" fillId="0" borderId="10" xfId="0" applyFont="1" applyBorder="1"/>
    <xf numFmtId="0" fontId="6" fillId="0" borderId="11" xfId="0" applyFont="1" applyBorder="1"/>
    <xf numFmtId="0" fontId="6" fillId="0" borderId="12" xfId="0" applyFont="1" applyBorder="1"/>
    <xf numFmtId="0" fontId="6" fillId="0" borderId="13" xfId="0" applyFont="1" applyBorder="1"/>
    <xf numFmtId="0" fontId="0" fillId="0" borderId="14" xfId="0" applyBorder="1"/>
    <xf numFmtId="0" fontId="6" fillId="0" borderId="15" xfId="0" applyFont="1" applyBorder="1"/>
    <xf numFmtId="0" fontId="0" fillId="0" borderId="16" xfId="0" applyBorder="1"/>
    <xf numFmtId="0" fontId="0" fillId="0" borderId="17" xfId="0" applyBorder="1"/>
    <xf numFmtId="0" fontId="0" fillId="0" borderId="0" xfId="0" applyAlignment="1">
      <alignment horizontal="left" vertical="center" wrapText="1"/>
    </xf>
    <xf numFmtId="0" fontId="12" fillId="0" borderId="0" xfId="0" applyFont="1"/>
    <xf numFmtId="10" fontId="12" fillId="0" borderId="0" xfId="0" applyNumberFormat="1" applyFont="1"/>
    <xf numFmtId="167" fontId="13" fillId="0" borderId="0" xfId="0" applyNumberFormat="1" applyFont="1"/>
    <xf numFmtId="0" fontId="11" fillId="0" borderId="0" xfId="0" applyFont="1" applyAlignment="1">
      <alignment horizontal="left" vertical="center" wrapText="1"/>
    </xf>
    <xf numFmtId="0" fontId="6" fillId="0" borderId="0" xfId="0" applyFont="1" applyAlignment="1">
      <alignment horizontal="left" vertical="center" wrapText="1"/>
    </xf>
    <xf numFmtId="166" fontId="12" fillId="0" borderId="0" xfId="0" applyNumberFormat="1" applyFont="1" applyAlignment="1">
      <alignment horizontal="left" vertical="center" wrapText="1"/>
    </xf>
    <xf numFmtId="0" fontId="14" fillId="2" borderId="0" xfId="0" applyFont="1" applyFill="1" applyAlignment="1">
      <alignment horizontal="center"/>
    </xf>
    <xf numFmtId="0" fontId="0" fillId="0" borderId="0" xfId="0" applyAlignment="1">
      <alignment horizontal="center"/>
    </xf>
    <xf numFmtId="167" fontId="0" fillId="0" borderId="0" xfId="0" applyNumberFormat="1"/>
    <xf numFmtId="167" fontId="6" fillId="0" borderId="0" xfId="0" applyNumberFormat="1" applyFont="1" applyAlignment="1">
      <alignment horizontal="left" vertical="center" wrapText="1"/>
    </xf>
    <xf numFmtId="167" fontId="15" fillId="0" borderId="0" xfId="0" applyNumberFormat="1" applyFont="1"/>
    <xf numFmtId="168" fontId="0" fillId="0" borderId="0" xfId="0" applyNumberFormat="1"/>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lignment horizontal="center" vertical="center" wrapText="1"/>
    </xf>
    <xf numFmtId="0" fontId="11" fillId="0" borderId="0" xfId="0" applyFont="1" applyAlignment="1">
      <alignment horizontal="center" vertical="center" wrapText="1"/>
    </xf>
  </cellXfs>
  <cellStyles count="5">
    <cellStyle name="Comma" xfId="1" builtinId="3"/>
    <cellStyle name="Hyperlink 2" xfId="4" xr:uid="{9A7715F7-3111-5649-B386-DA749E1DF205}"/>
    <cellStyle name="Normal" xfId="0" builtinId="0"/>
    <cellStyle name="Normal 2" xfId="2" xr:uid="{28BEBDD2-F520-5942-B517-6742A815AA2B}"/>
    <cellStyle name="Normal 2 2" xfId="3" xr:uid="{8E646EAE-123E-C641-9F6E-D040BC02E6EE}"/>
  </cellStyles>
  <dxfs count="6">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numFmt numFmtId="3" formatCode="#,##0"/>
    </dxf>
    <dxf>
      <alignment horizontal="center" vertical="bottom" textRotation="0" wrapText="0" indent="0" justifyLastLine="0" shrinkToFit="0" readingOrder="0"/>
    </dxf>
    <dxf>
      <font>
        <b/>
        <i val="0"/>
        <strike val="0"/>
        <condense val="0"/>
        <extend val="0"/>
        <outline val="0"/>
        <shadow val="0"/>
        <u val="none"/>
        <vertAlign val="baseline"/>
        <sz val="12"/>
        <color theme="0"/>
        <name val="Aptos Narrow"/>
        <family val="2"/>
        <scheme val="minor"/>
      </font>
      <fill>
        <patternFill patternType="solid">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&amp; Self-Made Status (Top 100 Billionaires)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stacked"/>
        <c:varyColors val="0"/>
        <c:ser>
          <c:idx val="0"/>
          <c:order val="0"/>
          <c:tx>
            <c:strRef>
              <c:f>'veri görselleştirme'!$B$103</c:f>
              <c:strCache>
                <c:ptCount val="1"/>
                <c:pt idx="0">
                  <c:v>Male</c:v>
                </c:pt>
              </c:strCache>
            </c:strRef>
          </c:tx>
          <c:spPr>
            <a:solidFill>
              <a:schemeClr val="accent1"/>
            </a:solidFill>
            <a:ln>
              <a:noFill/>
            </a:ln>
            <a:effectLst/>
          </c:spPr>
          <c:invertIfNegative val="0"/>
          <c:cat>
            <c:strRef>
              <c:f>'veri görselleştirme'!$C$102:$D$102</c:f>
              <c:strCache>
                <c:ptCount val="2"/>
                <c:pt idx="0">
                  <c:v>Self-Made</c:v>
                </c:pt>
                <c:pt idx="1">
                  <c:v>Inherited</c:v>
                </c:pt>
              </c:strCache>
            </c:strRef>
          </c:cat>
          <c:val>
            <c:numRef>
              <c:f>'veri görselleştirme'!$C$103:$D$103</c:f>
              <c:numCache>
                <c:formatCode>General</c:formatCode>
                <c:ptCount val="2"/>
                <c:pt idx="0">
                  <c:v>61</c:v>
                </c:pt>
                <c:pt idx="1">
                  <c:v>23</c:v>
                </c:pt>
              </c:numCache>
            </c:numRef>
          </c:val>
          <c:extLst>
            <c:ext xmlns:c16="http://schemas.microsoft.com/office/drawing/2014/chart" uri="{C3380CC4-5D6E-409C-BE32-E72D297353CC}">
              <c16:uniqueId val="{00000000-2ADC-4A1D-8877-0ADC0E172C06}"/>
            </c:ext>
          </c:extLst>
        </c:ser>
        <c:ser>
          <c:idx val="1"/>
          <c:order val="1"/>
          <c:tx>
            <c:strRef>
              <c:f>'veri görselleştirme'!$B$104</c:f>
              <c:strCache>
                <c:ptCount val="1"/>
                <c:pt idx="0">
                  <c:v>Female</c:v>
                </c:pt>
              </c:strCache>
            </c:strRef>
          </c:tx>
          <c:spPr>
            <a:solidFill>
              <a:schemeClr val="accent2"/>
            </a:solidFill>
            <a:ln>
              <a:noFill/>
            </a:ln>
            <a:effectLst/>
          </c:spPr>
          <c:invertIfNegative val="0"/>
          <c:cat>
            <c:strRef>
              <c:f>'veri görselleştirme'!$C$102:$D$102</c:f>
              <c:strCache>
                <c:ptCount val="2"/>
                <c:pt idx="0">
                  <c:v>Self-Made</c:v>
                </c:pt>
                <c:pt idx="1">
                  <c:v>Inherited</c:v>
                </c:pt>
              </c:strCache>
            </c:strRef>
          </c:cat>
          <c:val>
            <c:numRef>
              <c:f>'veri görselleştirme'!$C$104:$D$104</c:f>
              <c:numCache>
                <c:formatCode>General</c:formatCode>
                <c:ptCount val="2"/>
                <c:pt idx="0">
                  <c:v>1</c:v>
                </c:pt>
                <c:pt idx="1">
                  <c:v>12</c:v>
                </c:pt>
              </c:numCache>
            </c:numRef>
          </c:val>
          <c:extLst>
            <c:ext xmlns:c16="http://schemas.microsoft.com/office/drawing/2014/chart" uri="{C3380CC4-5D6E-409C-BE32-E72D297353CC}">
              <c16:uniqueId val="{00000001-2ADC-4A1D-8877-0ADC0E172C06}"/>
            </c:ext>
          </c:extLst>
        </c:ser>
        <c:dLbls>
          <c:showLegendKey val="0"/>
          <c:showVal val="0"/>
          <c:showCatName val="0"/>
          <c:showSerName val="0"/>
          <c:showPercent val="0"/>
          <c:showBubbleSize val="0"/>
        </c:dLbls>
        <c:gapWidth val="150"/>
        <c:overlap val="100"/>
        <c:axId val="1791585456"/>
        <c:axId val="1791585936"/>
      </c:barChart>
      <c:catAx>
        <c:axId val="179158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91585936"/>
        <c:crosses val="autoZero"/>
        <c:auto val="1"/>
        <c:lblAlgn val="ctr"/>
        <c:lblOffset val="100"/>
        <c:noMultiLvlLbl val="0"/>
      </c:catAx>
      <c:valAx>
        <c:axId val="1791585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91585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Industries Among Billionaires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clustered"/>
        <c:varyColors val="0"/>
        <c:ser>
          <c:idx val="0"/>
          <c:order val="0"/>
          <c:tx>
            <c:strRef>
              <c:f>'veri görselleştirme'!$C$108</c:f>
              <c:strCache>
                <c:ptCount val="1"/>
                <c:pt idx="0">
                  <c:v>Count</c:v>
                </c:pt>
              </c:strCache>
            </c:strRef>
          </c:tx>
          <c:spPr>
            <a:solidFill>
              <a:schemeClr val="accent1"/>
            </a:solidFill>
            <a:ln>
              <a:noFill/>
            </a:ln>
            <a:effectLst/>
          </c:spPr>
          <c:invertIfNegative val="0"/>
          <c:cat>
            <c:strRef>
              <c:f>'veri görselleştirme'!$B$109:$B$117</c:f>
              <c:strCache>
                <c:ptCount val="9"/>
                <c:pt idx="0">
                  <c:v>Technology</c:v>
                </c:pt>
                <c:pt idx="1">
                  <c:v>Fashion &amp; Retail</c:v>
                </c:pt>
                <c:pt idx="2">
                  <c:v>Finance</c:v>
                </c:pt>
                <c:pt idx="3">
                  <c:v>Metals &amp; Mining</c:v>
                </c:pt>
                <c:pt idx="4">
                  <c:v>Food &amp; Beverage</c:v>
                </c:pt>
                <c:pt idx="5">
                  <c:v>Automotive</c:v>
                </c:pt>
                <c:pt idx="6">
                  <c:v>Energy</c:v>
                </c:pt>
                <c:pt idx="7">
                  <c:v>Diversified</c:v>
                </c:pt>
                <c:pt idx="8">
                  <c:v>Manufacturing</c:v>
                </c:pt>
              </c:strCache>
            </c:strRef>
          </c:cat>
          <c:val>
            <c:numRef>
              <c:f>'veri görselleştirme'!$C$109:$C$117</c:f>
              <c:numCache>
                <c:formatCode>General</c:formatCode>
                <c:ptCount val="9"/>
                <c:pt idx="0">
                  <c:v>16</c:v>
                </c:pt>
                <c:pt idx="1">
                  <c:v>15</c:v>
                </c:pt>
                <c:pt idx="2">
                  <c:v>14</c:v>
                </c:pt>
                <c:pt idx="3">
                  <c:v>11</c:v>
                </c:pt>
                <c:pt idx="4">
                  <c:v>7</c:v>
                </c:pt>
                <c:pt idx="5">
                  <c:v>6</c:v>
                </c:pt>
                <c:pt idx="6">
                  <c:v>5</c:v>
                </c:pt>
                <c:pt idx="7">
                  <c:v>5</c:v>
                </c:pt>
                <c:pt idx="8">
                  <c:v>5</c:v>
                </c:pt>
              </c:numCache>
            </c:numRef>
          </c:val>
          <c:extLst>
            <c:ext xmlns:c16="http://schemas.microsoft.com/office/drawing/2014/chart" uri="{C3380CC4-5D6E-409C-BE32-E72D297353CC}">
              <c16:uniqueId val="{00000000-1910-466A-A412-7E3BBC7E2227}"/>
            </c:ext>
          </c:extLst>
        </c:ser>
        <c:dLbls>
          <c:showLegendKey val="0"/>
          <c:showVal val="0"/>
          <c:showCatName val="0"/>
          <c:showSerName val="0"/>
          <c:showPercent val="0"/>
          <c:showBubbleSize val="0"/>
        </c:dLbls>
        <c:gapWidth val="182"/>
        <c:axId val="1764968272"/>
        <c:axId val="1739888000"/>
      </c:barChart>
      <c:catAx>
        <c:axId val="176496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39888000"/>
        <c:crosses val="autoZero"/>
        <c:auto val="1"/>
        <c:lblAlgn val="ctr"/>
        <c:lblOffset val="100"/>
        <c:noMultiLvlLbl val="0"/>
      </c:catAx>
      <c:valAx>
        <c:axId val="1739888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76496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 of Top 100 Billionaires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'veri görselleştirme'!$C$120</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47-4C11-B4C2-06355031D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47-4C11-B4C2-06355031D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47-4C11-B4C2-06355031D0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47-4C11-B4C2-06355031D0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47-4C11-B4C2-06355031D0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47-4C11-B4C2-06355031D0B9}"/>
              </c:ext>
            </c:extLst>
          </c:dPt>
          <c:cat>
            <c:strRef>
              <c:f>'veri görselleştirme'!$B$121:$B$126</c:f>
              <c:strCache>
                <c:ptCount val="6"/>
                <c:pt idx="0">
                  <c:v>&lt;40</c:v>
                </c:pt>
                <c:pt idx="1">
                  <c:v>40-49</c:v>
                </c:pt>
                <c:pt idx="2">
                  <c:v>50-59</c:v>
                </c:pt>
                <c:pt idx="3">
                  <c:v>60-69</c:v>
                </c:pt>
                <c:pt idx="4">
                  <c:v>70-79</c:v>
                </c:pt>
                <c:pt idx="5">
                  <c:v>80+</c:v>
                </c:pt>
              </c:strCache>
            </c:strRef>
          </c:cat>
          <c:val>
            <c:numRef>
              <c:f>'veri görselleştirme'!$C$121:$C$126</c:f>
              <c:numCache>
                <c:formatCode>General</c:formatCode>
                <c:ptCount val="6"/>
                <c:pt idx="0">
                  <c:v>4</c:v>
                </c:pt>
                <c:pt idx="1">
                  <c:v>2</c:v>
                </c:pt>
                <c:pt idx="2">
                  <c:v>20</c:v>
                </c:pt>
                <c:pt idx="3">
                  <c:v>23</c:v>
                </c:pt>
                <c:pt idx="4">
                  <c:v>23</c:v>
                </c:pt>
                <c:pt idx="5">
                  <c:v>25</c:v>
                </c:pt>
              </c:numCache>
            </c:numRef>
          </c:val>
          <c:extLst>
            <c:ext xmlns:c16="http://schemas.microsoft.com/office/drawing/2014/chart" uri="{C3380CC4-5D6E-409C-BE32-E72D297353CC}">
              <c16:uniqueId val="{00000000-6D66-44AA-B8C2-8E049AAA0CF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Distribution of Top 100 Billionaires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doughnutChart>
        <c:varyColors val="1"/>
        <c:ser>
          <c:idx val="0"/>
          <c:order val="0"/>
          <c:tx>
            <c:strRef>
              <c:f>'veri görselleştirme'!$F$120</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ED-4E80-8282-6CE534137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ED-4E80-8282-6CE534137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ED-4E80-8282-6CE5341376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ED-4E80-8282-6CE5341376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0ED-4E80-8282-6CE534137645}"/>
              </c:ext>
            </c:extLst>
          </c:dPt>
          <c:cat>
            <c:strRef>
              <c:f>'veri görselleştirme'!$E$121:$E$125</c:f>
              <c:strCache>
                <c:ptCount val="5"/>
                <c:pt idx="0">
                  <c:v>United States</c:v>
                </c:pt>
                <c:pt idx="1">
                  <c:v>China</c:v>
                </c:pt>
                <c:pt idx="2">
                  <c:v>Russia</c:v>
                </c:pt>
                <c:pt idx="3">
                  <c:v>India</c:v>
                </c:pt>
                <c:pt idx="4">
                  <c:v>Others (22 countries)</c:v>
                </c:pt>
              </c:strCache>
            </c:strRef>
          </c:cat>
          <c:val>
            <c:numRef>
              <c:f>'veri görselleştirme'!$F$121:$F$125</c:f>
              <c:numCache>
                <c:formatCode>General</c:formatCode>
                <c:ptCount val="5"/>
                <c:pt idx="0">
                  <c:v>42</c:v>
                </c:pt>
                <c:pt idx="1">
                  <c:v>13</c:v>
                </c:pt>
                <c:pt idx="2">
                  <c:v>6</c:v>
                </c:pt>
                <c:pt idx="3">
                  <c:v>5</c:v>
                </c:pt>
                <c:pt idx="4">
                  <c:v>31</c:v>
                </c:pt>
              </c:numCache>
            </c:numRef>
          </c:val>
          <c:extLst>
            <c:ext xmlns:c16="http://schemas.microsoft.com/office/drawing/2014/chart" uri="{C3380CC4-5D6E-409C-BE32-E72D297353CC}">
              <c16:uniqueId val="{00000000-CE8D-47D3-9C24-9EAE206894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55702</xdr:colOff>
      <xdr:row>101</xdr:row>
      <xdr:rowOff>71298</xdr:rowOff>
    </xdr:from>
    <xdr:to>
      <xdr:col>13</xdr:col>
      <xdr:colOff>561028</xdr:colOff>
      <xdr:row>115</xdr:row>
      <xdr:rowOff>9802</xdr:rowOff>
    </xdr:to>
    <xdr:graphicFrame macro="">
      <xdr:nvGraphicFramePr>
        <xdr:cNvPr id="2" name="Chart 1">
          <a:extLst>
            <a:ext uri="{FF2B5EF4-FFF2-40B4-BE49-F238E27FC236}">
              <a16:creationId xmlns:a16="http://schemas.microsoft.com/office/drawing/2014/main" id="{07A122BA-752E-21CD-0DE5-06F029D43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194957</xdr:colOff>
      <xdr:row>101</xdr:row>
      <xdr:rowOff>71298</xdr:rowOff>
    </xdr:from>
    <xdr:to>
      <xdr:col>19</xdr:col>
      <xdr:colOff>700728</xdr:colOff>
      <xdr:row>115</xdr:row>
      <xdr:rowOff>9801</xdr:rowOff>
    </xdr:to>
    <xdr:graphicFrame macro="">
      <xdr:nvGraphicFramePr>
        <xdr:cNvPr id="3" name="Chart 2">
          <a:extLst>
            <a:ext uri="{FF2B5EF4-FFF2-40B4-BE49-F238E27FC236}">
              <a16:creationId xmlns:a16="http://schemas.microsoft.com/office/drawing/2014/main" id="{2D7208B6-CBCC-10B5-D4A7-641BC753A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55702</xdr:colOff>
      <xdr:row>119</xdr:row>
      <xdr:rowOff>71298</xdr:rowOff>
    </xdr:from>
    <xdr:to>
      <xdr:col>13</xdr:col>
      <xdr:colOff>561028</xdr:colOff>
      <xdr:row>133</xdr:row>
      <xdr:rowOff>9802</xdr:rowOff>
    </xdr:to>
    <xdr:graphicFrame macro="">
      <xdr:nvGraphicFramePr>
        <xdr:cNvPr id="4" name="Chart 3">
          <a:extLst>
            <a:ext uri="{FF2B5EF4-FFF2-40B4-BE49-F238E27FC236}">
              <a16:creationId xmlns:a16="http://schemas.microsoft.com/office/drawing/2014/main" id="{BF3DA0ED-4116-93F6-B624-C4DD5F7D5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194957</xdr:colOff>
      <xdr:row>119</xdr:row>
      <xdr:rowOff>71298</xdr:rowOff>
    </xdr:from>
    <xdr:to>
      <xdr:col>19</xdr:col>
      <xdr:colOff>700728</xdr:colOff>
      <xdr:row>133</xdr:row>
      <xdr:rowOff>9802</xdr:rowOff>
    </xdr:to>
    <xdr:graphicFrame macro="">
      <xdr:nvGraphicFramePr>
        <xdr:cNvPr id="5" name="Chart 4">
          <a:extLst>
            <a:ext uri="{FF2B5EF4-FFF2-40B4-BE49-F238E27FC236}">
              <a16:creationId xmlns:a16="http://schemas.microsoft.com/office/drawing/2014/main" id="{31177788-2B17-5A5F-EE00-7E666FE34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B7A31E-C84B-5445-B3E5-A9381FDC993D}" name="Table1" displayName="Table1" ref="B2:O99" totalsRowShown="0" headerRowDxfId="5" headerRowCellStyle="Normal 2" dataCellStyle="Normal 2">
  <autoFilter ref="B2:O99" xr:uid="{7EB7A31E-C84B-5445-B3E5-A9381FDC993D}"/>
  <tableColumns count="14">
    <tableColumn id="1" xr3:uid="{6EE1BDF1-2B14-AB4D-8824-8A9BA3B7D826}" name="Rank" dataDxfId="4" dataCellStyle="Normal 2"/>
    <tableColumn id="2" xr3:uid="{CA9F1C36-94A6-E74A-9DB1-49A13ED78A63}" name="Person Name" dataCellStyle="Normal 2"/>
    <tableColumn id="3" xr3:uid="{394EBDF1-0EC1-7046-8799-F7A43A1550B4}" name="Category" dataCellStyle="Normal 2"/>
    <tableColumn id="4" xr3:uid="{5EF80F73-7C2E-9B47-B7EC-B8A640FD6B8F}" name="Country" dataCellStyle="Normal 2"/>
    <tableColumn id="5" xr3:uid="{64732695-04B2-F444-A3B2-4357AC661CD1}" name="Region" dataCellStyle="Normal 2"/>
    <tableColumn id="6" xr3:uid="{A4E22C1A-D982-F841-BAAF-9D88D68CF5F1}" name="City" dataCellStyle="Normal 2"/>
    <tableColumn id="7" xr3:uid="{2BAC649B-6CB7-1749-BEFE-8FC4DAF295E6}" name="Source" dataCellStyle="Normal 2"/>
    <tableColumn id="8" xr3:uid="{E3A66881-24C5-BB4E-916B-F57C1C691B16}" name="Industries" dataCellStyle="Normal 2"/>
    <tableColumn id="9" xr3:uid="{1288C525-CE12-464A-A5CF-C97474619513}" name="Self Made" dataCellStyle="Normal 2"/>
    <tableColumn id="10" xr3:uid="{7915325C-914E-7846-A9FF-43FF6D756074}" name="Gender" dataCellStyle="Normal 2"/>
    <tableColumn id="11" xr3:uid="{1B47B52F-6E83-9B4C-BF05-C055B65C6378}" name="Lastname" dataCellStyle="Normal 2"/>
    <tableColumn id="12" xr3:uid="{32733ED8-15CC-4644-82D6-4F9CC376C412}" name="Firstname" dataCellStyle="Normal 2"/>
    <tableColumn id="13" xr3:uid="{59185540-C6CF-B345-B546-D79D83417295}" name="Finalworth" dataDxfId="3" dataCellStyle="Normal 2"/>
    <tableColumn id="14" xr3:uid="{EECFEABF-9534-E346-B765-8163809EEA9F}" name="Age"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E751C3-7F97-4FB8-AD81-4FC551E84CED}">
  <we:reference id="WA200009404" version="1.0.0.5" store="Omex"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BFF11-F7FE-0B48-9503-01E00C351819}">
  <dimension ref="A1:J15"/>
  <sheetViews>
    <sheetView zoomScale="115" zoomScaleNormal="250" workbookViewId="0">
      <selection activeCell="H11" sqref="H11"/>
    </sheetView>
  </sheetViews>
  <sheetFormatPr defaultColWidth="10.6640625" defaultRowHeight="16" x14ac:dyDescent="0.4"/>
  <cols>
    <col min="3" max="3" width="13.83203125" customWidth="1"/>
    <col min="5" max="5" width="11.83203125" bestFit="1" customWidth="1"/>
  </cols>
  <sheetData>
    <row r="1" spans="1:10" ht="16.5" thickBot="1" x14ac:dyDescent="0.45">
      <c r="A1" s="10"/>
      <c r="B1" s="10"/>
      <c r="C1" s="10"/>
      <c r="D1" s="10"/>
      <c r="E1" s="10"/>
      <c r="F1" s="10"/>
    </row>
    <row r="2" spans="1:10" ht="16.5" thickBot="1" x14ac:dyDescent="0.45">
      <c r="A2" s="10"/>
      <c r="B2" s="22" t="s">
        <v>465</v>
      </c>
      <c r="C2" s="23" t="s">
        <v>466</v>
      </c>
      <c r="D2" s="23" t="s">
        <v>467</v>
      </c>
      <c r="E2" s="24" t="s">
        <v>468</v>
      </c>
      <c r="F2" s="10"/>
    </row>
    <row r="3" spans="1:10" x14ac:dyDescent="0.4">
      <c r="A3" s="10"/>
      <c r="B3" s="11" t="s">
        <v>469</v>
      </c>
      <c r="C3" s="12" t="s">
        <v>515</v>
      </c>
      <c r="D3" s="13">
        <v>121</v>
      </c>
      <c r="E3" s="14">
        <v>45731</v>
      </c>
      <c r="F3" s="10"/>
    </row>
    <row r="4" spans="1:10" x14ac:dyDescent="0.4">
      <c r="A4" s="10"/>
      <c r="B4" s="11" t="s">
        <v>469</v>
      </c>
      <c r="C4" s="15" t="s">
        <v>515</v>
      </c>
      <c r="D4" s="13">
        <v>5678</v>
      </c>
      <c r="E4" s="16">
        <v>45955</v>
      </c>
      <c r="F4" s="10"/>
      <c r="H4" s="47" t="s">
        <v>510</v>
      </c>
      <c r="I4" s="47"/>
      <c r="J4" s="47"/>
    </row>
    <row r="5" spans="1:10" x14ac:dyDescent="0.4">
      <c r="A5" s="10"/>
      <c r="B5" s="11" t="s">
        <v>470</v>
      </c>
      <c r="C5" s="12" t="s">
        <v>475</v>
      </c>
      <c r="D5" s="13">
        <v>3011</v>
      </c>
      <c r="E5" s="14">
        <v>45736</v>
      </c>
      <c r="F5" s="10"/>
      <c r="H5" s="47"/>
      <c r="I5" s="47"/>
      <c r="J5" s="47"/>
    </row>
    <row r="6" spans="1:10" x14ac:dyDescent="0.4">
      <c r="A6" s="10"/>
      <c r="B6" s="11" t="s">
        <v>470</v>
      </c>
      <c r="C6" t="s">
        <v>476</v>
      </c>
      <c r="D6" s="13">
        <v>1020</v>
      </c>
      <c r="E6" s="14">
        <v>45757</v>
      </c>
      <c r="F6" s="10"/>
      <c r="H6" s="47"/>
      <c r="I6" s="47"/>
      <c r="J6" s="47"/>
    </row>
    <row r="7" spans="1:10" x14ac:dyDescent="0.4">
      <c r="A7" s="10"/>
      <c r="B7" s="11" t="s">
        <v>471</v>
      </c>
      <c r="C7" s="12" t="s">
        <v>475</v>
      </c>
      <c r="D7" s="13">
        <v>4829</v>
      </c>
      <c r="E7" s="14">
        <v>45762</v>
      </c>
      <c r="F7" s="10"/>
      <c r="H7" s="47"/>
      <c r="I7" s="47"/>
      <c r="J7" s="47"/>
    </row>
    <row r="8" spans="1:10" x14ac:dyDescent="0.4">
      <c r="A8" s="10"/>
      <c r="B8" s="11" t="s">
        <v>471</v>
      </c>
      <c r="C8" s="12" t="s">
        <v>477</v>
      </c>
      <c r="D8" s="13">
        <v>2012</v>
      </c>
      <c r="E8" s="17">
        <v>45765</v>
      </c>
      <c r="F8" s="10"/>
      <c r="H8" s="47"/>
      <c r="I8" s="47"/>
      <c r="J8" s="47"/>
    </row>
    <row r="9" spans="1:10" x14ac:dyDescent="0.4">
      <c r="A9" s="10"/>
      <c r="B9" s="11" t="s">
        <v>472</v>
      </c>
      <c r="C9" s="12" t="s">
        <v>475</v>
      </c>
      <c r="D9" s="13">
        <v>7301</v>
      </c>
      <c r="E9" s="14">
        <v>45693</v>
      </c>
      <c r="F9" s="10"/>
      <c r="H9" s="47"/>
      <c r="I9" s="47"/>
      <c r="J9" s="47"/>
    </row>
    <row r="10" spans="1:10" x14ac:dyDescent="0.4">
      <c r="A10" s="10"/>
      <c r="B10" s="11" t="s">
        <v>472</v>
      </c>
      <c r="C10" s="12" t="s">
        <v>477</v>
      </c>
      <c r="D10" s="13">
        <v>9055</v>
      </c>
      <c r="E10" s="14">
        <v>45696</v>
      </c>
      <c r="F10" s="10"/>
    </row>
    <row r="11" spans="1:10" x14ac:dyDescent="0.4">
      <c r="A11" s="10"/>
      <c r="B11" s="11" t="s">
        <v>473</v>
      </c>
      <c r="C11" s="12" t="s">
        <v>516</v>
      </c>
      <c r="D11" s="13">
        <v>2010</v>
      </c>
      <c r="E11" s="14">
        <v>45700</v>
      </c>
      <c r="F11" s="10"/>
    </row>
    <row r="12" spans="1:10" x14ac:dyDescent="0.4">
      <c r="A12" s="10"/>
      <c r="B12" s="11" t="s">
        <v>474</v>
      </c>
      <c r="C12" s="12" t="s">
        <v>478</v>
      </c>
      <c r="D12" s="13">
        <v>1200</v>
      </c>
      <c r="E12" s="14">
        <v>45721</v>
      </c>
      <c r="F12" s="10"/>
    </row>
    <row r="13" spans="1:10" x14ac:dyDescent="0.4">
      <c r="A13" s="10"/>
      <c r="B13" s="11" t="s">
        <v>474</v>
      </c>
      <c r="C13" s="12" t="s">
        <v>516</v>
      </c>
      <c r="D13" s="13">
        <v>0</v>
      </c>
      <c r="E13" s="14">
        <v>45724</v>
      </c>
      <c r="F13" s="10"/>
    </row>
    <row r="14" spans="1:10" ht="16.5" thickBot="1" x14ac:dyDescent="0.45">
      <c r="A14" s="10"/>
      <c r="B14" s="18" t="s">
        <v>474</v>
      </c>
      <c r="C14" s="19" t="s">
        <v>478</v>
      </c>
      <c r="D14" s="20">
        <v>1290</v>
      </c>
      <c r="E14" s="21">
        <v>45726</v>
      </c>
      <c r="F14" s="10"/>
    </row>
    <row r="15" spans="1:10" x14ac:dyDescent="0.4">
      <c r="A15" s="10"/>
      <c r="B15" s="10"/>
      <c r="C15" s="10"/>
      <c r="D15" s="10"/>
      <c r="E15" s="10"/>
      <c r="F15" s="10"/>
    </row>
  </sheetData>
  <mergeCells count="1">
    <mergeCell ref="H4:J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656A-9B23-0041-B618-972B330E1295}">
  <dimension ref="C2:G23"/>
  <sheetViews>
    <sheetView tabSelected="1" topLeftCell="A2" zoomScale="107" zoomScaleNormal="158" workbookViewId="0">
      <selection activeCell="H18" sqref="H18"/>
    </sheetView>
  </sheetViews>
  <sheetFormatPr defaultColWidth="10.6640625" defaultRowHeight="16" x14ac:dyDescent="0.4"/>
  <sheetData>
    <row r="2" spans="3:7" ht="16.5" thickBot="1" x14ac:dyDescent="0.45"/>
    <row r="3" spans="3:7" x14ac:dyDescent="0.4">
      <c r="C3" s="26" t="s">
        <v>483</v>
      </c>
      <c r="D3" s="27" t="s">
        <v>479</v>
      </c>
      <c r="E3" s="27" t="s">
        <v>480</v>
      </c>
      <c r="F3" s="27" t="s">
        <v>481</v>
      </c>
      <c r="G3" s="28" t="s">
        <v>482</v>
      </c>
    </row>
    <row r="4" spans="3:7" x14ac:dyDescent="0.4">
      <c r="C4" s="29">
        <v>2015</v>
      </c>
      <c r="D4" s="25">
        <v>1.1000000000000001</v>
      </c>
      <c r="E4" s="25">
        <v>3.3</v>
      </c>
      <c r="F4" s="25">
        <v>3.1</v>
      </c>
      <c r="G4" s="30">
        <v>1.3</v>
      </c>
    </row>
    <row r="5" spans="3:7" x14ac:dyDescent="0.4">
      <c r="C5" s="29">
        <v>2016</v>
      </c>
      <c r="D5" s="25">
        <v>0.5</v>
      </c>
      <c r="E5" s="25">
        <v>0.3</v>
      </c>
      <c r="F5" s="25">
        <v>-0.8</v>
      </c>
      <c r="G5" s="30">
        <v>3.5</v>
      </c>
    </row>
    <row r="6" spans="3:7" x14ac:dyDescent="0.4">
      <c r="C6" s="29">
        <v>2017</v>
      </c>
      <c r="D6" s="25">
        <v>1.5</v>
      </c>
      <c r="E6" s="25">
        <v>2.1</v>
      </c>
      <c r="F6" s="25">
        <v>4</v>
      </c>
      <c r="G6" s="30">
        <v>1.8</v>
      </c>
    </row>
    <row r="7" spans="3:7" x14ac:dyDescent="0.4">
      <c r="C7" s="29">
        <v>2018</v>
      </c>
      <c r="D7" s="25">
        <v>2</v>
      </c>
      <c r="E7" s="25">
        <v>0.6</v>
      </c>
      <c r="F7" s="25">
        <v>-1.6</v>
      </c>
      <c r="G7" s="30">
        <v>-2.4</v>
      </c>
    </row>
    <row r="8" spans="3:7" x14ac:dyDescent="0.4">
      <c r="C8" s="29">
        <v>2019</v>
      </c>
      <c r="D8" s="25">
        <v>-0.6</v>
      </c>
      <c r="E8" s="25">
        <v>1.6</v>
      </c>
      <c r="F8" s="25">
        <v>0.4</v>
      </c>
      <c r="G8" s="30">
        <v>1.9</v>
      </c>
    </row>
    <row r="9" spans="3:7" x14ac:dyDescent="0.4">
      <c r="C9" s="29">
        <v>2020</v>
      </c>
      <c r="D9" s="25">
        <v>-2.9</v>
      </c>
      <c r="E9" s="25">
        <v>-10.4</v>
      </c>
      <c r="F9" s="25">
        <v>16.3</v>
      </c>
      <c r="G9" s="30">
        <v>1.7</v>
      </c>
    </row>
    <row r="10" spans="3:7" x14ac:dyDescent="0.4">
      <c r="C10" s="29">
        <v>2021</v>
      </c>
      <c r="D10" s="25">
        <v>2.2000000000000002</v>
      </c>
      <c r="E10" s="25">
        <v>0.9</v>
      </c>
      <c r="F10" s="25">
        <v>2.7</v>
      </c>
      <c r="G10" s="30">
        <v>1.5</v>
      </c>
    </row>
    <row r="11" spans="3:7" x14ac:dyDescent="0.4">
      <c r="C11" s="29">
        <v>2022</v>
      </c>
      <c r="D11" s="25">
        <v>0.7</v>
      </c>
      <c r="E11" s="25">
        <v>2</v>
      </c>
      <c r="F11" s="25">
        <v>0.1</v>
      </c>
      <c r="G11" s="30">
        <v>0.5</v>
      </c>
    </row>
    <row r="12" spans="3:7" x14ac:dyDescent="0.4">
      <c r="C12" s="29">
        <v>2023</v>
      </c>
      <c r="D12" s="25">
        <v>0.1</v>
      </c>
      <c r="E12" s="25">
        <v>3.5</v>
      </c>
      <c r="F12" s="25">
        <v>0.3</v>
      </c>
      <c r="G12" s="30">
        <v>1</v>
      </c>
    </row>
    <row r="13" spans="3:7" x14ac:dyDescent="0.4">
      <c r="C13" s="29">
        <v>2024</v>
      </c>
      <c r="D13" s="25">
        <v>1.4</v>
      </c>
      <c r="E13" s="25">
        <v>0.1</v>
      </c>
      <c r="F13" s="25">
        <v>0.2</v>
      </c>
      <c r="G13" s="30">
        <v>1.7</v>
      </c>
    </row>
    <row r="14" spans="3:7" ht="16.5" thickBot="1" x14ac:dyDescent="0.45">
      <c r="C14" s="31">
        <v>2025</v>
      </c>
      <c r="D14" s="32">
        <v>1</v>
      </c>
      <c r="E14" s="32">
        <v>1.6</v>
      </c>
      <c r="F14" s="32">
        <v>1.1000000000000001</v>
      </c>
      <c r="G14" s="33"/>
    </row>
    <row r="17" spans="3:7" x14ac:dyDescent="0.4">
      <c r="C17" s="48" t="s">
        <v>544</v>
      </c>
      <c r="D17" s="48"/>
      <c r="E17" s="48"/>
      <c r="F17" s="48"/>
      <c r="G17" s="48"/>
    </row>
    <row r="18" spans="3:7" x14ac:dyDescent="0.4">
      <c r="C18" s="48"/>
      <c r="D18" s="48"/>
      <c r="E18" s="48"/>
      <c r="F18" s="48"/>
      <c r="G18" s="48"/>
    </row>
    <row r="19" spans="3:7" x14ac:dyDescent="0.4">
      <c r="C19" s="48"/>
      <c r="D19" s="48"/>
      <c r="E19" s="48"/>
      <c r="F19" s="48"/>
      <c r="G19" s="48"/>
    </row>
    <row r="20" spans="3:7" x14ac:dyDescent="0.4">
      <c r="C20" s="48"/>
      <c r="D20" s="48"/>
      <c r="E20" s="48"/>
      <c r="F20" s="48"/>
      <c r="G20" s="48"/>
    </row>
    <row r="21" spans="3:7" x14ac:dyDescent="0.4">
      <c r="C21" s="48"/>
      <c r="D21" s="48"/>
      <c r="E21" s="48"/>
      <c r="F21" s="48"/>
      <c r="G21" s="48"/>
    </row>
    <row r="22" spans="3:7" x14ac:dyDescent="0.4">
      <c r="C22" s="48"/>
      <c r="D22" s="48"/>
      <c r="E22" s="48"/>
      <c r="F22" s="48"/>
      <c r="G22" s="48"/>
    </row>
    <row r="23" spans="3:7" x14ac:dyDescent="0.4">
      <c r="C23" s="48"/>
      <c r="D23" s="48"/>
      <c r="E23" s="48"/>
      <c r="F23" s="48"/>
      <c r="G23" s="48"/>
    </row>
  </sheetData>
  <mergeCells count="1">
    <mergeCell ref="C17:G23"/>
  </mergeCells>
  <conditionalFormatting sqref="D4:G14">
    <cfRule type="cellIs" dxfId="2" priority="1" operator="greaterThan">
      <formula>0</formula>
    </cfRule>
  </conditionalFormatting>
  <conditionalFormatting sqref="D4:G14">
    <cfRule type="cellIs" dxfId="1" priority="2" operator="lessThan">
      <formula>0</formula>
    </cfRule>
  </conditionalFormatting>
  <conditionalFormatting sqref="D4:G14">
    <cfRule type="cellIs" dxfId="0" priority="3" operator="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7C17-D64C-9D4D-B0B5-03AF1AB8CDCB}">
  <dimension ref="B2:J22"/>
  <sheetViews>
    <sheetView zoomScale="66" zoomScaleNormal="110" workbookViewId="0">
      <selection activeCell="J3" sqref="J3"/>
    </sheetView>
  </sheetViews>
  <sheetFormatPr defaultColWidth="10.6640625" defaultRowHeight="16" x14ac:dyDescent="0.4"/>
  <cols>
    <col min="7" max="8" width="11" customWidth="1"/>
    <col min="9" max="9" width="9.33203125" customWidth="1"/>
    <col min="11" max="11" width="8.33203125" customWidth="1"/>
  </cols>
  <sheetData>
    <row r="2" spans="2:10" x14ac:dyDescent="0.4">
      <c r="B2" s="1" t="s">
        <v>489</v>
      </c>
      <c r="C2" s="1" t="s">
        <v>488</v>
      </c>
      <c r="D2" s="1" t="s">
        <v>487</v>
      </c>
      <c r="E2" s="1" t="s">
        <v>509</v>
      </c>
      <c r="F2" s="1" t="s">
        <v>486</v>
      </c>
      <c r="G2" s="1" t="s">
        <v>484</v>
      </c>
      <c r="H2" s="1" t="s">
        <v>463</v>
      </c>
      <c r="J2" s="2" t="s">
        <v>490</v>
      </c>
    </row>
    <row r="3" spans="2:10" x14ac:dyDescent="0.4">
      <c r="B3" t="s">
        <v>490</v>
      </c>
      <c r="C3" t="s">
        <v>501</v>
      </c>
      <c r="D3" t="s">
        <v>500</v>
      </c>
      <c r="E3" s="3">
        <v>490</v>
      </c>
      <c r="F3" s="3">
        <v>2940</v>
      </c>
      <c r="G3" t="s">
        <v>485</v>
      </c>
      <c r="H3" t="str">
        <f>IF(F3&gt;2000,"High","Low")</f>
        <v>High</v>
      </c>
      <c r="J3" s="3">
        <f>SUMIFS(F3:F22,B3:B22,J2)</f>
        <v>4383</v>
      </c>
    </row>
    <row r="4" spans="2:10" x14ac:dyDescent="0.4">
      <c r="B4" t="s">
        <v>490</v>
      </c>
      <c r="C4" t="s">
        <v>501</v>
      </c>
      <c r="D4" t="s">
        <v>503</v>
      </c>
      <c r="E4" s="3">
        <v>481</v>
      </c>
      <c r="F4" s="3">
        <v>1443</v>
      </c>
      <c r="G4" t="s">
        <v>7</v>
      </c>
      <c r="H4" t="str">
        <f t="shared" ref="H4:H22" si="0">IF(F4&gt;2000,"High","Low")</f>
        <v>Low</v>
      </c>
    </row>
    <row r="5" spans="2:10" x14ac:dyDescent="0.4">
      <c r="B5" t="s">
        <v>491</v>
      </c>
      <c r="C5" t="s">
        <v>502</v>
      </c>
      <c r="D5" t="s">
        <v>508</v>
      </c>
      <c r="E5" s="3">
        <v>344</v>
      </c>
      <c r="F5" s="3">
        <v>2408</v>
      </c>
      <c r="G5" t="s">
        <v>485</v>
      </c>
      <c r="H5" t="str">
        <f t="shared" si="0"/>
        <v>High</v>
      </c>
    </row>
    <row r="6" spans="2:10" x14ac:dyDescent="0.4">
      <c r="B6" t="s">
        <v>492</v>
      </c>
      <c r="C6" t="s">
        <v>501</v>
      </c>
      <c r="D6" t="s">
        <v>5</v>
      </c>
      <c r="E6" s="3">
        <v>39</v>
      </c>
      <c r="F6" s="3">
        <v>351</v>
      </c>
      <c r="G6" t="s">
        <v>485</v>
      </c>
      <c r="H6" t="str">
        <f t="shared" si="0"/>
        <v>Low</v>
      </c>
    </row>
    <row r="7" spans="2:10" x14ac:dyDescent="0.4">
      <c r="B7" t="s">
        <v>493</v>
      </c>
      <c r="C7" t="s">
        <v>501</v>
      </c>
      <c r="D7" t="s">
        <v>506</v>
      </c>
      <c r="E7" s="3">
        <v>256</v>
      </c>
      <c r="F7" s="3">
        <v>2048</v>
      </c>
      <c r="G7" t="s">
        <v>7</v>
      </c>
      <c r="H7" t="str">
        <f t="shared" si="0"/>
        <v>High</v>
      </c>
    </row>
    <row r="8" spans="2:10" x14ac:dyDescent="0.4">
      <c r="B8" t="s">
        <v>494</v>
      </c>
      <c r="C8" t="s">
        <v>502</v>
      </c>
      <c r="D8" t="s">
        <v>508</v>
      </c>
      <c r="E8" s="3">
        <v>115</v>
      </c>
      <c r="F8" s="3">
        <v>690</v>
      </c>
      <c r="G8" t="s">
        <v>7</v>
      </c>
      <c r="H8" t="str">
        <f t="shared" si="0"/>
        <v>Low</v>
      </c>
    </row>
    <row r="9" spans="2:10" x14ac:dyDescent="0.4">
      <c r="B9" t="s">
        <v>492</v>
      </c>
      <c r="C9" t="s">
        <v>501</v>
      </c>
      <c r="D9" t="s">
        <v>507</v>
      </c>
      <c r="E9" s="3">
        <v>60</v>
      </c>
      <c r="F9" s="3">
        <v>480</v>
      </c>
      <c r="G9" t="s">
        <v>7</v>
      </c>
      <c r="H9" t="str">
        <f t="shared" si="0"/>
        <v>Low</v>
      </c>
    </row>
    <row r="10" spans="2:10" x14ac:dyDescent="0.4">
      <c r="B10" t="s">
        <v>495</v>
      </c>
      <c r="C10" t="s">
        <v>501</v>
      </c>
      <c r="D10" t="s">
        <v>504</v>
      </c>
      <c r="E10" s="3">
        <v>90</v>
      </c>
      <c r="F10" s="3">
        <v>450</v>
      </c>
      <c r="G10" t="s">
        <v>7</v>
      </c>
      <c r="H10" t="str">
        <f t="shared" si="0"/>
        <v>Low</v>
      </c>
    </row>
    <row r="11" spans="2:10" x14ac:dyDescent="0.4">
      <c r="B11" t="s">
        <v>493</v>
      </c>
      <c r="C11" t="s">
        <v>501</v>
      </c>
      <c r="D11" t="s">
        <v>507</v>
      </c>
      <c r="E11" s="3">
        <v>142</v>
      </c>
      <c r="F11" s="3">
        <v>1136</v>
      </c>
      <c r="G11" t="s">
        <v>485</v>
      </c>
      <c r="H11" t="str">
        <f t="shared" si="0"/>
        <v>Low</v>
      </c>
    </row>
    <row r="12" spans="2:10" x14ac:dyDescent="0.4">
      <c r="B12" t="s">
        <v>491</v>
      </c>
      <c r="C12" t="s">
        <v>502</v>
      </c>
      <c r="D12" t="s">
        <v>504</v>
      </c>
      <c r="E12" s="3">
        <v>294</v>
      </c>
      <c r="F12" s="3">
        <v>1176</v>
      </c>
      <c r="G12" t="s">
        <v>7</v>
      </c>
      <c r="H12" t="str">
        <f t="shared" si="0"/>
        <v>Low</v>
      </c>
    </row>
    <row r="13" spans="2:10" x14ac:dyDescent="0.4">
      <c r="B13" t="s">
        <v>494</v>
      </c>
      <c r="C13" t="s">
        <v>502</v>
      </c>
      <c r="D13" t="s">
        <v>500</v>
      </c>
      <c r="E13" s="3">
        <v>397</v>
      </c>
      <c r="F13" s="3">
        <v>3176</v>
      </c>
      <c r="G13" t="s">
        <v>7</v>
      </c>
      <c r="H13" t="str">
        <f t="shared" si="0"/>
        <v>High</v>
      </c>
    </row>
    <row r="14" spans="2:10" x14ac:dyDescent="0.4">
      <c r="B14" t="s">
        <v>496</v>
      </c>
      <c r="C14" t="s">
        <v>502</v>
      </c>
      <c r="D14" t="s">
        <v>503</v>
      </c>
      <c r="E14" s="3">
        <v>147</v>
      </c>
      <c r="F14" s="3">
        <v>294</v>
      </c>
      <c r="G14" t="s">
        <v>485</v>
      </c>
      <c r="H14" t="str">
        <f t="shared" si="0"/>
        <v>Low</v>
      </c>
    </row>
    <row r="15" spans="2:10" x14ac:dyDescent="0.4">
      <c r="B15" t="s">
        <v>497</v>
      </c>
      <c r="C15" t="s">
        <v>502</v>
      </c>
      <c r="D15" t="s">
        <v>505</v>
      </c>
      <c r="E15" s="3">
        <v>193</v>
      </c>
      <c r="F15" s="3">
        <v>965</v>
      </c>
      <c r="G15" t="s">
        <v>7</v>
      </c>
      <c r="H15" t="str">
        <f t="shared" si="0"/>
        <v>Low</v>
      </c>
    </row>
    <row r="16" spans="2:10" x14ac:dyDescent="0.4">
      <c r="B16" t="s">
        <v>494</v>
      </c>
      <c r="C16" t="s">
        <v>502</v>
      </c>
      <c r="D16" t="s">
        <v>506</v>
      </c>
      <c r="E16" s="3">
        <v>410</v>
      </c>
      <c r="F16" s="3">
        <v>3690</v>
      </c>
      <c r="G16" t="s">
        <v>485</v>
      </c>
      <c r="H16" t="str">
        <f t="shared" si="0"/>
        <v>High</v>
      </c>
    </row>
    <row r="17" spans="2:8" x14ac:dyDescent="0.4">
      <c r="B17" t="s">
        <v>498</v>
      </c>
      <c r="C17" t="s">
        <v>501</v>
      </c>
      <c r="D17" t="s">
        <v>503</v>
      </c>
      <c r="E17" s="3">
        <v>339</v>
      </c>
      <c r="F17" s="3">
        <v>1356</v>
      </c>
      <c r="G17" t="s">
        <v>485</v>
      </c>
      <c r="H17" t="str">
        <f t="shared" si="0"/>
        <v>Low</v>
      </c>
    </row>
    <row r="18" spans="2:8" x14ac:dyDescent="0.4">
      <c r="B18" t="s">
        <v>497</v>
      </c>
      <c r="C18" t="s">
        <v>502</v>
      </c>
      <c r="D18" t="s">
        <v>507</v>
      </c>
      <c r="E18" s="3">
        <v>282</v>
      </c>
      <c r="F18" s="3">
        <v>1692</v>
      </c>
      <c r="G18" t="s">
        <v>485</v>
      </c>
      <c r="H18" t="str">
        <f t="shared" si="0"/>
        <v>Low</v>
      </c>
    </row>
    <row r="19" spans="2:8" x14ac:dyDescent="0.4">
      <c r="B19" t="s">
        <v>491</v>
      </c>
      <c r="C19" t="s">
        <v>502</v>
      </c>
      <c r="D19" t="s">
        <v>500</v>
      </c>
      <c r="E19" s="3">
        <v>349</v>
      </c>
      <c r="F19" s="3">
        <v>349</v>
      </c>
      <c r="G19" t="s">
        <v>485</v>
      </c>
      <c r="H19" t="str">
        <f t="shared" si="0"/>
        <v>Low</v>
      </c>
    </row>
    <row r="20" spans="2:8" x14ac:dyDescent="0.4">
      <c r="B20" t="s">
        <v>494</v>
      </c>
      <c r="C20" t="s">
        <v>502</v>
      </c>
      <c r="D20" t="s">
        <v>507</v>
      </c>
      <c r="E20" s="3">
        <v>481</v>
      </c>
      <c r="F20" s="3">
        <v>4329</v>
      </c>
      <c r="G20" t="s">
        <v>7</v>
      </c>
      <c r="H20" t="str">
        <f t="shared" si="0"/>
        <v>High</v>
      </c>
    </row>
    <row r="21" spans="2:8" x14ac:dyDescent="0.4">
      <c r="B21" t="s">
        <v>499</v>
      </c>
      <c r="C21" t="s">
        <v>501</v>
      </c>
      <c r="D21" t="s">
        <v>504</v>
      </c>
      <c r="E21" s="3">
        <v>78</v>
      </c>
      <c r="F21" s="3">
        <v>78</v>
      </c>
      <c r="G21" t="s">
        <v>7</v>
      </c>
      <c r="H21" t="str">
        <f t="shared" si="0"/>
        <v>Low</v>
      </c>
    </row>
    <row r="22" spans="2:8" x14ac:dyDescent="0.4">
      <c r="B22" t="s">
        <v>496</v>
      </c>
      <c r="C22" t="s">
        <v>502</v>
      </c>
      <c r="D22" t="s">
        <v>500</v>
      </c>
      <c r="E22" s="3">
        <v>43</v>
      </c>
      <c r="F22" s="3">
        <v>215</v>
      </c>
      <c r="G22" t="s">
        <v>485</v>
      </c>
      <c r="H22" t="str">
        <f t="shared" si="0"/>
        <v>Low</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D6257-F1DE-2F48-8A26-0FCF2A775144}">
  <dimension ref="B2:I256"/>
  <sheetViews>
    <sheetView zoomScale="66" workbookViewId="0">
      <pane ySplit="16" topLeftCell="A252" activePane="bottomLeft" state="frozen"/>
      <selection pane="bottomLeft" activeCell="C265" sqref="C265"/>
    </sheetView>
  </sheetViews>
  <sheetFormatPr defaultColWidth="10.6640625" defaultRowHeight="16" x14ac:dyDescent="0.4"/>
  <cols>
    <col min="2" max="2" width="10.83203125" customWidth="1"/>
    <col min="3" max="7" width="21.6640625" customWidth="1"/>
  </cols>
  <sheetData>
    <row r="2" spans="2:9" x14ac:dyDescent="0.4">
      <c r="B2" s="9" t="s">
        <v>464</v>
      </c>
    </row>
    <row r="3" spans="2:9" ht="16" customHeight="1" x14ac:dyDescent="0.4">
      <c r="B3" s="34" t="s">
        <v>511</v>
      </c>
      <c r="C3" s="34"/>
      <c r="D3" s="34"/>
      <c r="E3" s="34"/>
      <c r="F3" s="34"/>
    </row>
    <row r="4" spans="2:9" x14ac:dyDescent="0.4">
      <c r="B4" s="34"/>
      <c r="C4" s="34"/>
      <c r="D4" s="34"/>
      <c r="E4" s="34"/>
      <c r="F4" s="34"/>
    </row>
    <row r="5" spans="2:9" x14ac:dyDescent="0.4">
      <c r="B5" s="34"/>
      <c r="C5" s="34"/>
      <c r="D5" s="34"/>
      <c r="E5" s="34"/>
      <c r="F5" s="34"/>
    </row>
    <row r="6" spans="2:9" x14ac:dyDescent="0.4">
      <c r="B6" s="34"/>
      <c r="C6" s="34"/>
      <c r="D6" s="34"/>
      <c r="E6" s="34"/>
      <c r="F6" s="34"/>
    </row>
    <row r="7" spans="2:9" ht="16" customHeight="1" x14ac:dyDescent="0.4">
      <c r="B7" s="49" t="s">
        <v>512</v>
      </c>
      <c r="C7" s="49"/>
      <c r="D7" s="49"/>
      <c r="E7" s="49"/>
      <c r="F7" s="49"/>
      <c r="G7" s="49"/>
      <c r="H7" s="49"/>
      <c r="I7" s="49"/>
    </row>
    <row r="8" spans="2:9" x14ac:dyDescent="0.4">
      <c r="B8" s="49"/>
      <c r="C8" s="49"/>
      <c r="D8" s="49"/>
      <c r="E8" s="49"/>
      <c r="F8" s="49"/>
      <c r="G8" s="49"/>
      <c r="H8" s="49"/>
      <c r="I8" s="49"/>
    </row>
    <row r="9" spans="2:9" ht="16" customHeight="1" x14ac:dyDescent="0.4">
      <c r="B9" s="38"/>
      <c r="C9" s="34"/>
      <c r="D9" s="34"/>
    </row>
    <row r="10" spans="2:9" ht="17" x14ac:dyDescent="0.4">
      <c r="B10" s="39"/>
      <c r="C10" s="40">
        <v>600000</v>
      </c>
      <c r="D10" s="34"/>
      <c r="E10" s="50" t="s">
        <v>527</v>
      </c>
      <c r="F10" s="50"/>
    </row>
    <row r="11" spans="2:9" x14ac:dyDescent="0.4">
      <c r="B11" s="9" t="s">
        <v>517</v>
      </c>
      <c r="C11" s="36">
        <v>0.05</v>
      </c>
      <c r="E11" s="39" t="s">
        <v>520</v>
      </c>
      <c r="F11" s="44">
        <f>C14</f>
        <v>3959.7344352999444</v>
      </c>
    </row>
    <row r="12" spans="2:9" x14ac:dyDescent="0.4">
      <c r="B12" s="9" t="s">
        <v>518</v>
      </c>
      <c r="C12" s="35">
        <v>20</v>
      </c>
      <c r="E12" s="9" t="s">
        <v>528</v>
      </c>
      <c r="F12" s="43">
        <f>C14*C12*C13</f>
        <v>950336.26447198656</v>
      </c>
    </row>
    <row r="13" spans="2:9" x14ac:dyDescent="0.4">
      <c r="B13" s="9" t="s">
        <v>519</v>
      </c>
      <c r="C13" s="35">
        <v>12</v>
      </c>
      <c r="E13" s="9" t="s">
        <v>529</v>
      </c>
      <c r="F13" s="45">
        <f>G256</f>
        <v>350336.26447198668</v>
      </c>
    </row>
    <row r="14" spans="2:9" x14ac:dyDescent="0.4">
      <c r="B14" s="9" t="s">
        <v>520</v>
      </c>
      <c r="C14" s="37">
        <f>-PMT(C11/C13,C12*C13,C10)</f>
        <v>3959.7344352999444</v>
      </c>
      <c r="E14" s="9" t="s">
        <v>530</v>
      </c>
      <c r="F14" s="46">
        <f>G256/C10</f>
        <v>0.58389377411997778</v>
      </c>
    </row>
    <row r="16" spans="2:9" x14ac:dyDescent="0.4">
      <c r="B16" s="41" t="s">
        <v>521</v>
      </c>
      <c r="C16" s="41" t="s">
        <v>522</v>
      </c>
      <c r="D16" s="41" t="s">
        <v>523</v>
      </c>
      <c r="E16" s="41" t="s">
        <v>524</v>
      </c>
      <c r="F16" s="41" t="s">
        <v>525</v>
      </c>
      <c r="G16" s="41" t="s">
        <v>526</v>
      </c>
    </row>
    <row r="17" spans="2:7" x14ac:dyDescent="0.4">
      <c r="B17" s="42">
        <v>1</v>
      </c>
      <c r="C17" s="43">
        <f>$C$14</f>
        <v>3959.7344352999444</v>
      </c>
      <c r="D17" s="43">
        <f>-PPMT($C$11/$C$13,B17,$C$12*$C$13,$C$10)</f>
        <v>1459.7344352999444</v>
      </c>
      <c r="E17" s="43">
        <f>-IPMT($C$11/$C$13,B17,$C$12*$C$13,$C$10)</f>
        <v>2500</v>
      </c>
      <c r="F17" s="43">
        <f>$C$10+CUMPRINC($C$11/$C$13,$C$12*$C$13,$C$10,1,B17,0)</f>
        <v>598540.26556470001</v>
      </c>
      <c r="G17" s="43">
        <f>CUMIPMT($C$11/$C$13,$C$12*$C$13,$C$10,1,B17,0)*-1</f>
        <v>2500</v>
      </c>
    </row>
    <row r="18" spans="2:7" x14ac:dyDescent="0.4">
      <c r="B18" s="42">
        <f>B17+1</f>
        <v>2</v>
      </c>
      <c r="C18" s="43">
        <f>$C$14</f>
        <v>3959.7344352999444</v>
      </c>
      <c r="D18" s="43">
        <f>-PPMT($C$11/$C$13,B18,$C$12*$C$13,$C$10)</f>
        <v>1465.8166621136945</v>
      </c>
      <c r="E18" s="43">
        <f>-IPMT($C$11/$C$13,B18,$C$12*$C$13,$C$10)</f>
        <v>2493.9177731862505</v>
      </c>
      <c r="F18" s="43">
        <f>$C$10+CUMPRINC($C$11/$C$13,$C$12*$C$13,$C$10,1,B18,0)</f>
        <v>597074.44890258636</v>
      </c>
      <c r="G18" s="43">
        <f>CUMIPMT($C$11/$C$13,$C$12*$C$13,$C$10,1,B18,0)*-1</f>
        <v>4993.9177731862501</v>
      </c>
    </row>
    <row r="19" spans="2:7" x14ac:dyDescent="0.4">
      <c r="B19" s="42">
        <f t="shared" ref="B19:B82" si="0">B18+1</f>
        <v>3</v>
      </c>
      <c r="C19" s="43">
        <f t="shared" ref="C19:C82" si="1">$C$14</f>
        <v>3959.7344352999444</v>
      </c>
      <c r="D19" s="43">
        <f t="shared" ref="D19:D82" si="2">-PPMT($C$11/$C$13,B19,$C$12*$C$13,$C$10)</f>
        <v>1471.924231539168</v>
      </c>
      <c r="E19" s="43">
        <f t="shared" ref="E19:E82" si="3">-IPMT($C$11/$C$13,B19,$C$12*$C$13,$C$10)</f>
        <v>2487.8102037607764</v>
      </c>
      <c r="F19" s="43">
        <f t="shared" ref="F19:F82" si="4">$C$10+CUMPRINC($C$11/$C$13,$C$12*$C$13,$C$10,1,B19,0)</f>
        <v>595602.52467104723</v>
      </c>
      <c r="G19" s="43">
        <f t="shared" ref="G19:G82" si="5">CUMIPMT($C$11/$C$13,$C$12*$C$13,$C$10,1,B19,0)*-1</f>
        <v>7481.7279769470269</v>
      </c>
    </row>
    <row r="20" spans="2:7" x14ac:dyDescent="0.4">
      <c r="B20" s="42">
        <f t="shared" si="0"/>
        <v>4</v>
      </c>
      <c r="C20" s="43">
        <f t="shared" si="1"/>
        <v>3959.7344352999444</v>
      </c>
      <c r="D20" s="43">
        <f t="shared" si="2"/>
        <v>1478.0572491705814</v>
      </c>
      <c r="E20" s="43">
        <f t="shared" si="3"/>
        <v>2481.6771861293632</v>
      </c>
      <c r="F20" s="43">
        <f t="shared" si="4"/>
        <v>594124.46742187662</v>
      </c>
      <c r="G20" s="43">
        <f t="shared" si="5"/>
        <v>9963.4051630763915</v>
      </c>
    </row>
    <row r="21" spans="2:7" x14ac:dyDescent="0.4">
      <c r="B21" s="42">
        <f t="shared" si="0"/>
        <v>5</v>
      </c>
      <c r="C21" s="43">
        <f t="shared" si="1"/>
        <v>3959.7344352999444</v>
      </c>
      <c r="D21" s="43">
        <f t="shared" si="2"/>
        <v>1484.2158210421253</v>
      </c>
      <c r="E21" s="43">
        <f t="shared" si="3"/>
        <v>2475.5186142578186</v>
      </c>
      <c r="F21" s="43">
        <f t="shared" si="4"/>
        <v>592640.25160083454</v>
      </c>
      <c r="G21" s="43">
        <f t="shared" si="5"/>
        <v>12438.923777334208</v>
      </c>
    </row>
    <row r="22" spans="2:7" x14ac:dyDescent="0.4">
      <c r="B22" s="42">
        <f t="shared" si="0"/>
        <v>6</v>
      </c>
      <c r="C22" s="43">
        <f t="shared" si="1"/>
        <v>3959.7344352999444</v>
      </c>
      <c r="D22" s="43">
        <f t="shared" si="2"/>
        <v>1490.4000536298011</v>
      </c>
      <c r="E22" s="43">
        <f t="shared" si="3"/>
        <v>2469.3343816701445</v>
      </c>
      <c r="F22" s="43">
        <f t="shared" si="4"/>
        <v>591149.85154720466</v>
      </c>
      <c r="G22" s="43">
        <f t="shared" si="5"/>
        <v>14908.258159004354</v>
      </c>
    </row>
    <row r="23" spans="2:7" x14ac:dyDescent="0.4">
      <c r="B23" s="42">
        <f t="shared" si="0"/>
        <v>7</v>
      </c>
      <c r="C23" s="43">
        <f t="shared" si="1"/>
        <v>3959.7344352999444</v>
      </c>
      <c r="D23" s="43">
        <f t="shared" si="2"/>
        <v>1496.6100538532585</v>
      </c>
      <c r="E23" s="43">
        <f t="shared" si="3"/>
        <v>2463.1243814466861</v>
      </c>
      <c r="F23" s="43">
        <f t="shared" si="4"/>
        <v>589653.24149335141</v>
      </c>
      <c r="G23" s="43">
        <f t="shared" si="5"/>
        <v>17371.382540451043</v>
      </c>
    </row>
    <row r="24" spans="2:7" x14ac:dyDescent="0.4">
      <c r="B24" s="42">
        <f t="shared" si="0"/>
        <v>8</v>
      </c>
      <c r="C24" s="43">
        <f t="shared" si="1"/>
        <v>3959.7344352999444</v>
      </c>
      <c r="D24" s="43">
        <f t="shared" si="2"/>
        <v>1502.845929077647</v>
      </c>
      <c r="E24" s="43">
        <f t="shared" si="3"/>
        <v>2456.8885062222976</v>
      </c>
      <c r="F24" s="43">
        <f t="shared" si="4"/>
        <v>588150.39556427381</v>
      </c>
      <c r="G24" s="43">
        <f t="shared" si="5"/>
        <v>19828.271046673341</v>
      </c>
    </row>
    <row r="25" spans="2:7" x14ac:dyDescent="0.4">
      <c r="B25" s="42">
        <f t="shared" si="0"/>
        <v>9</v>
      </c>
      <c r="C25" s="43">
        <f t="shared" si="1"/>
        <v>3959.7344352999444</v>
      </c>
      <c r="D25" s="43">
        <f t="shared" si="2"/>
        <v>1509.1077871154705</v>
      </c>
      <c r="E25" s="43">
        <f t="shared" si="3"/>
        <v>2450.6266481844741</v>
      </c>
      <c r="F25" s="43">
        <f t="shared" si="4"/>
        <v>586641.28777715832</v>
      </c>
      <c r="G25" s="43">
        <f t="shared" si="5"/>
        <v>22278.897694857813</v>
      </c>
    </row>
    <row r="26" spans="2:7" x14ac:dyDescent="0.4">
      <c r="B26" s="42">
        <f t="shared" si="0"/>
        <v>10</v>
      </c>
      <c r="C26" s="43">
        <f t="shared" si="1"/>
        <v>3959.7344352999444</v>
      </c>
      <c r="D26" s="43">
        <f t="shared" si="2"/>
        <v>1515.3957362284516</v>
      </c>
      <c r="E26" s="43">
        <f t="shared" si="3"/>
        <v>2444.338699071493</v>
      </c>
      <c r="F26" s="43">
        <f t="shared" si="4"/>
        <v>585125.89204092987</v>
      </c>
      <c r="G26" s="43">
        <f t="shared" si="5"/>
        <v>24723.236393929306</v>
      </c>
    </row>
    <row r="27" spans="2:7" x14ac:dyDescent="0.4">
      <c r="B27" s="42">
        <f t="shared" si="0"/>
        <v>11</v>
      </c>
      <c r="C27" s="43">
        <f t="shared" si="1"/>
        <v>3959.7344352999444</v>
      </c>
      <c r="D27" s="43">
        <f t="shared" si="2"/>
        <v>1521.7098851294036</v>
      </c>
      <c r="E27" s="43">
        <f t="shared" si="3"/>
        <v>2438.0245501705413</v>
      </c>
      <c r="F27" s="43">
        <f t="shared" si="4"/>
        <v>583604.1821558004</v>
      </c>
      <c r="G27" s="43">
        <f t="shared" si="5"/>
        <v>27161.260944099846</v>
      </c>
    </row>
    <row r="28" spans="2:7" x14ac:dyDescent="0.4">
      <c r="B28" s="42">
        <f t="shared" si="0"/>
        <v>12</v>
      </c>
      <c r="C28" s="43">
        <f t="shared" si="1"/>
        <v>3959.7344352999444</v>
      </c>
      <c r="D28" s="43">
        <f t="shared" si="2"/>
        <v>1528.0503429841092</v>
      </c>
      <c r="E28" s="43">
        <f t="shared" si="3"/>
        <v>2431.6840923158352</v>
      </c>
      <c r="F28" s="43">
        <f t="shared" si="4"/>
        <v>582076.13181281637</v>
      </c>
      <c r="G28" s="43">
        <f t="shared" si="5"/>
        <v>29592.94503641568</v>
      </c>
    </row>
    <row r="29" spans="2:7" x14ac:dyDescent="0.4">
      <c r="B29" s="42">
        <f t="shared" si="0"/>
        <v>13</v>
      </c>
      <c r="C29" s="43">
        <f t="shared" si="1"/>
        <v>3959.7344352999444</v>
      </c>
      <c r="D29" s="43">
        <f t="shared" si="2"/>
        <v>1534.4172194132095</v>
      </c>
      <c r="E29" s="43">
        <f t="shared" si="3"/>
        <v>2425.3172158867346</v>
      </c>
      <c r="F29" s="43">
        <f t="shared" si="4"/>
        <v>580541.71459340316</v>
      </c>
      <c r="G29" s="43">
        <f t="shared" si="5"/>
        <v>32018.262252302415</v>
      </c>
    </row>
    <row r="30" spans="2:7" x14ac:dyDescent="0.4">
      <c r="B30" s="42">
        <f t="shared" si="0"/>
        <v>14</v>
      </c>
      <c r="C30" s="43">
        <f t="shared" si="1"/>
        <v>3959.7344352999444</v>
      </c>
      <c r="D30" s="43">
        <f t="shared" si="2"/>
        <v>1540.810624494098</v>
      </c>
      <c r="E30" s="43">
        <f t="shared" si="3"/>
        <v>2418.9238108058466</v>
      </c>
      <c r="F30" s="43">
        <f t="shared" si="4"/>
        <v>579000.90396890906</v>
      </c>
      <c r="G30" s="43">
        <f t="shared" si="5"/>
        <v>34437.186063108267</v>
      </c>
    </row>
    <row r="31" spans="2:7" x14ac:dyDescent="0.4">
      <c r="B31" s="42">
        <f t="shared" si="0"/>
        <v>15</v>
      </c>
      <c r="C31" s="43">
        <f t="shared" si="1"/>
        <v>3959.7344352999444</v>
      </c>
      <c r="D31" s="43">
        <f t="shared" si="2"/>
        <v>1547.2306687628234</v>
      </c>
      <c r="E31" s="43">
        <f t="shared" si="3"/>
        <v>2412.5037665371206</v>
      </c>
      <c r="F31" s="43">
        <f t="shared" si="4"/>
        <v>577453.67330014624</v>
      </c>
      <c r="G31" s="43">
        <f t="shared" si="5"/>
        <v>36849.689829645387</v>
      </c>
    </row>
    <row r="32" spans="2:7" x14ac:dyDescent="0.4">
      <c r="B32" s="42">
        <f t="shared" si="0"/>
        <v>16</v>
      </c>
      <c r="C32" s="43">
        <f t="shared" si="1"/>
        <v>3959.7344352999444</v>
      </c>
      <c r="D32" s="43">
        <f t="shared" si="2"/>
        <v>1553.6774632160018</v>
      </c>
      <c r="E32" s="43">
        <f t="shared" si="3"/>
        <v>2406.0569720839426</v>
      </c>
      <c r="F32" s="43">
        <f t="shared" si="4"/>
        <v>575899.99583693023</v>
      </c>
      <c r="G32" s="43">
        <f t="shared" si="5"/>
        <v>39255.746801729329</v>
      </c>
    </row>
    <row r="33" spans="2:7" x14ac:dyDescent="0.4">
      <c r="B33" s="42">
        <f t="shared" si="0"/>
        <v>17</v>
      </c>
      <c r="C33" s="43">
        <f t="shared" si="1"/>
        <v>3959.7344352999444</v>
      </c>
      <c r="D33" s="43">
        <f t="shared" si="2"/>
        <v>1560.1511193127351</v>
      </c>
      <c r="E33" s="43">
        <f t="shared" si="3"/>
        <v>2399.5833159872091</v>
      </c>
      <c r="F33" s="43">
        <f t="shared" si="4"/>
        <v>574339.8447176175</v>
      </c>
      <c r="G33" s="43">
        <f t="shared" si="5"/>
        <v>41655.330117716541</v>
      </c>
    </row>
    <row r="34" spans="2:7" x14ac:dyDescent="0.4">
      <c r="B34" s="42">
        <f t="shared" si="0"/>
        <v>18</v>
      </c>
      <c r="C34" s="43">
        <f t="shared" si="1"/>
        <v>3959.7344352999444</v>
      </c>
      <c r="D34" s="43">
        <f t="shared" si="2"/>
        <v>1566.6517489765386</v>
      </c>
      <c r="E34" s="43">
        <f t="shared" si="3"/>
        <v>2393.0826863234056</v>
      </c>
      <c r="F34" s="43">
        <f t="shared" si="4"/>
        <v>572773.19296864094</v>
      </c>
      <c r="G34" s="43">
        <f t="shared" si="5"/>
        <v>44048.412804039937</v>
      </c>
    </row>
    <row r="35" spans="2:7" x14ac:dyDescent="0.4">
      <c r="B35" s="42">
        <f t="shared" si="0"/>
        <v>19</v>
      </c>
      <c r="C35" s="43">
        <f t="shared" si="1"/>
        <v>3959.7344352999444</v>
      </c>
      <c r="D35" s="43">
        <f t="shared" si="2"/>
        <v>1573.1794645972739</v>
      </c>
      <c r="E35" s="43">
        <f t="shared" si="3"/>
        <v>2386.5549707026707</v>
      </c>
      <c r="F35" s="43">
        <f t="shared" si="4"/>
        <v>571200.01350404369</v>
      </c>
      <c r="G35" s="43">
        <f t="shared" si="5"/>
        <v>46434.96777474261</v>
      </c>
    </row>
    <row r="36" spans="2:7" x14ac:dyDescent="0.4">
      <c r="B36" s="42">
        <f t="shared" si="0"/>
        <v>20</v>
      </c>
      <c r="C36" s="43">
        <f t="shared" si="1"/>
        <v>3959.7344352999444</v>
      </c>
      <c r="D36" s="43">
        <f t="shared" si="2"/>
        <v>1579.734379033096</v>
      </c>
      <c r="E36" s="43">
        <f t="shared" si="3"/>
        <v>2380.0000562668483</v>
      </c>
      <c r="F36" s="43">
        <f t="shared" si="4"/>
        <v>569620.27912501059</v>
      </c>
      <c r="G36" s="43">
        <f t="shared" si="5"/>
        <v>48814.96783100946</v>
      </c>
    </row>
    <row r="37" spans="2:7" x14ac:dyDescent="0.4">
      <c r="B37" s="42">
        <f t="shared" si="0"/>
        <v>21</v>
      </c>
      <c r="C37" s="43">
        <f t="shared" si="1"/>
        <v>3959.7344352999444</v>
      </c>
      <c r="D37" s="43">
        <f t="shared" si="2"/>
        <v>1586.3166056124005</v>
      </c>
      <c r="E37" s="43">
        <f t="shared" si="3"/>
        <v>2373.4178296875434</v>
      </c>
      <c r="F37" s="43">
        <f t="shared" si="4"/>
        <v>568033.96251939819</v>
      </c>
      <c r="G37" s="43">
        <f t="shared" si="5"/>
        <v>51188.385660697</v>
      </c>
    </row>
    <row r="38" spans="2:7" x14ac:dyDescent="0.4">
      <c r="B38" s="42">
        <f t="shared" si="0"/>
        <v>22</v>
      </c>
      <c r="C38" s="43">
        <f t="shared" si="1"/>
        <v>3959.7344352999444</v>
      </c>
      <c r="D38" s="43">
        <f t="shared" si="2"/>
        <v>1592.9262581357852</v>
      </c>
      <c r="E38" s="43">
        <f t="shared" si="3"/>
        <v>2366.8081771641591</v>
      </c>
      <c r="F38" s="43">
        <f t="shared" si="4"/>
        <v>566441.03626126237</v>
      </c>
      <c r="G38" s="43">
        <f t="shared" si="5"/>
        <v>53555.193837861167</v>
      </c>
    </row>
    <row r="39" spans="2:7" x14ac:dyDescent="0.4">
      <c r="B39" s="42">
        <f t="shared" si="0"/>
        <v>23</v>
      </c>
      <c r="C39" s="43">
        <f t="shared" si="1"/>
        <v>3959.7344352999444</v>
      </c>
      <c r="D39" s="43">
        <f t="shared" si="2"/>
        <v>1599.5634508780179</v>
      </c>
      <c r="E39" s="43">
        <f t="shared" si="3"/>
        <v>2360.1709844219267</v>
      </c>
      <c r="F39" s="43">
        <f t="shared" si="4"/>
        <v>564841.47281038435</v>
      </c>
      <c r="G39" s="43">
        <f t="shared" si="5"/>
        <v>55915.364822283096</v>
      </c>
    </row>
    <row r="40" spans="2:7" x14ac:dyDescent="0.4">
      <c r="B40" s="42">
        <f t="shared" si="0"/>
        <v>24</v>
      </c>
      <c r="C40" s="43">
        <f t="shared" si="1"/>
        <v>3959.7344352999444</v>
      </c>
      <c r="D40" s="43">
        <f t="shared" si="2"/>
        <v>1606.2282985900097</v>
      </c>
      <c r="E40" s="43">
        <f t="shared" si="3"/>
        <v>2353.5061367099347</v>
      </c>
      <c r="F40" s="43">
        <f t="shared" si="4"/>
        <v>563235.24451179442</v>
      </c>
      <c r="G40" s="43">
        <f t="shared" si="5"/>
        <v>58268.870958993029</v>
      </c>
    </row>
    <row r="41" spans="2:7" x14ac:dyDescent="0.4">
      <c r="B41" s="42">
        <f t="shared" si="0"/>
        <v>25</v>
      </c>
      <c r="C41" s="43">
        <f t="shared" si="1"/>
        <v>3959.7344352999444</v>
      </c>
      <c r="D41" s="43">
        <f t="shared" si="2"/>
        <v>1612.9209165008012</v>
      </c>
      <c r="E41" s="43">
        <f t="shared" si="3"/>
        <v>2346.8135187991429</v>
      </c>
      <c r="F41" s="43">
        <f t="shared" si="4"/>
        <v>561622.32359529356</v>
      </c>
      <c r="G41" s="43">
        <f t="shared" si="5"/>
        <v>60615.684477792172</v>
      </c>
    </row>
    <row r="42" spans="2:7" x14ac:dyDescent="0.4">
      <c r="B42" s="42">
        <f t="shared" si="0"/>
        <v>26</v>
      </c>
      <c r="C42" s="43">
        <f t="shared" si="1"/>
        <v>3959.7344352999444</v>
      </c>
      <c r="D42" s="43">
        <f t="shared" si="2"/>
        <v>1619.6414203195545</v>
      </c>
      <c r="E42" s="43">
        <f t="shared" si="3"/>
        <v>2340.0930149803903</v>
      </c>
      <c r="F42" s="43">
        <f t="shared" si="4"/>
        <v>560002.682174974</v>
      </c>
      <c r="G42" s="43">
        <f t="shared" si="5"/>
        <v>62955.777492772562</v>
      </c>
    </row>
    <row r="43" spans="2:7" x14ac:dyDescent="0.4">
      <c r="B43" s="42">
        <f t="shared" si="0"/>
        <v>27</v>
      </c>
      <c r="C43" s="43">
        <f t="shared" si="1"/>
        <v>3959.7344352999444</v>
      </c>
      <c r="D43" s="43">
        <f t="shared" si="2"/>
        <v>1626.3899262375528</v>
      </c>
      <c r="E43" s="43">
        <f t="shared" si="3"/>
        <v>2333.3445090623923</v>
      </c>
      <c r="F43" s="43">
        <f t="shared" si="4"/>
        <v>558376.29224873648</v>
      </c>
      <c r="G43" s="43">
        <f t="shared" si="5"/>
        <v>65289.122001834963</v>
      </c>
    </row>
    <row r="44" spans="2:7" x14ac:dyDescent="0.4">
      <c r="B44" s="42">
        <f t="shared" si="0"/>
        <v>28</v>
      </c>
      <c r="C44" s="43">
        <f t="shared" si="1"/>
        <v>3959.7344352999444</v>
      </c>
      <c r="D44" s="43">
        <f t="shared" si="2"/>
        <v>1633.166550930209</v>
      </c>
      <c r="E44" s="43">
        <f t="shared" si="3"/>
        <v>2326.5678843697347</v>
      </c>
      <c r="F44" s="43">
        <f t="shared" si="4"/>
        <v>556743.12569780624</v>
      </c>
      <c r="G44" s="43">
        <f t="shared" si="5"/>
        <v>67615.689886204695</v>
      </c>
    </row>
    <row r="45" spans="2:7" x14ac:dyDescent="0.4">
      <c r="B45" s="42">
        <f t="shared" si="0"/>
        <v>29</v>
      </c>
      <c r="C45" s="43">
        <f t="shared" si="1"/>
        <v>3959.7344352999444</v>
      </c>
      <c r="D45" s="43">
        <f t="shared" si="2"/>
        <v>1639.971411559085</v>
      </c>
      <c r="E45" s="43">
        <f t="shared" si="3"/>
        <v>2319.7630237408594</v>
      </c>
      <c r="F45" s="43">
        <f t="shared" si="4"/>
        <v>555103.15428624721</v>
      </c>
      <c r="G45" s="43">
        <f t="shared" si="5"/>
        <v>69935.452909945539</v>
      </c>
    </row>
    <row r="46" spans="2:7" x14ac:dyDescent="0.4">
      <c r="B46" s="42">
        <f t="shared" si="0"/>
        <v>30</v>
      </c>
      <c r="C46" s="43">
        <f t="shared" si="1"/>
        <v>3959.7344352999444</v>
      </c>
      <c r="D46" s="43">
        <f t="shared" si="2"/>
        <v>1646.8046257739147</v>
      </c>
      <c r="E46" s="43">
        <f t="shared" si="3"/>
        <v>2312.9298095260301</v>
      </c>
      <c r="F46" s="43">
        <f t="shared" si="4"/>
        <v>553456.34966047329</v>
      </c>
      <c r="G46" s="43">
        <f t="shared" si="5"/>
        <v>72248.382719471585</v>
      </c>
    </row>
    <row r="47" spans="2:7" x14ac:dyDescent="0.4">
      <c r="B47" s="42">
        <f t="shared" si="0"/>
        <v>31</v>
      </c>
      <c r="C47" s="43">
        <f t="shared" si="1"/>
        <v>3959.7344352999444</v>
      </c>
      <c r="D47" s="43">
        <f t="shared" si="2"/>
        <v>1653.6663117146393</v>
      </c>
      <c r="E47" s="43">
        <f t="shared" si="3"/>
        <v>2306.0681235853049</v>
      </c>
      <c r="F47" s="43">
        <f t="shared" si="4"/>
        <v>551802.68334875861</v>
      </c>
      <c r="G47" s="43">
        <f t="shared" si="5"/>
        <v>74554.450843056868</v>
      </c>
    </row>
    <row r="48" spans="2:7" x14ac:dyDescent="0.4">
      <c r="B48" s="42">
        <f t="shared" si="0"/>
        <v>32</v>
      </c>
      <c r="C48" s="43">
        <f t="shared" si="1"/>
        <v>3959.7344352999444</v>
      </c>
      <c r="D48" s="43">
        <f t="shared" si="2"/>
        <v>1660.5565880134504</v>
      </c>
      <c r="E48" s="43">
        <f t="shared" si="3"/>
        <v>2299.1778472864944</v>
      </c>
      <c r="F48" s="43">
        <f t="shared" si="4"/>
        <v>550142.12676074519</v>
      </c>
      <c r="G48" s="43">
        <f t="shared" si="5"/>
        <v>76853.628690343379</v>
      </c>
    </row>
    <row r="49" spans="2:7" x14ac:dyDescent="0.4">
      <c r="B49" s="42">
        <f t="shared" si="0"/>
        <v>33</v>
      </c>
      <c r="C49" s="43">
        <f t="shared" si="1"/>
        <v>3959.7344352999444</v>
      </c>
      <c r="D49" s="43">
        <f t="shared" si="2"/>
        <v>1667.4755737968399</v>
      </c>
      <c r="E49" s="43">
        <f t="shared" si="3"/>
        <v>2292.258861503105</v>
      </c>
      <c r="F49" s="43">
        <f t="shared" si="4"/>
        <v>548474.65118694829</v>
      </c>
      <c r="G49" s="43">
        <f t="shared" si="5"/>
        <v>79145.887551846492</v>
      </c>
    </row>
    <row r="50" spans="2:7" x14ac:dyDescent="0.4">
      <c r="B50" s="42">
        <f t="shared" si="0"/>
        <v>34</v>
      </c>
      <c r="C50" s="43">
        <f t="shared" si="1"/>
        <v>3959.7344352999444</v>
      </c>
      <c r="D50" s="43">
        <f t="shared" si="2"/>
        <v>1674.42338868766</v>
      </c>
      <c r="E50" s="43">
        <f t="shared" si="3"/>
        <v>2285.3110466122844</v>
      </c>
      <c r="F50" s="43">
        <f t="shared" si="4"/>
        <v>546800.22779826063</v>
      </c>
      <c r="G50" s="43">
        <f t="shared" si="5"/>
        <v>81431.198598458766</v>
      </c>
    </row>
    <row r="51" spans="2:7" x14ac:dyDescent="0.4">
      <c r="B51" s="42">
        <f t="shared" si="0"/>
        <v>35</v>
      </c>
      <c r="C51" s="43">
        <f t="shared" si="1"/>
        <v>3959.7344352999444</v>
      </c>
      <c r="D51" s="43">
        <f t="shared" si="2"/>
        <v>1681.4001528071919</v>
      </c>
      <c r="E51" s="43">
        <f t="shared" si="3"/>
        <v>2278.3342824927527</v>
      </c>
      <c r="F51" s="43">
        <f t="shared" si="4"/>
        <v>545118.82764545351</v>
      </c>
      <c r="G51" s="43">
        <f t="shared" si="5"/>
        <v>83709.532880951534</v>
      </c>
    </row>
    <row r="52" spans="2:7" x14ac:dyDescent="0.4">
      <c r="B52" s="42">
        <f t="shared" si="0"/>
        <v>36</v>
      </c>
      <c r="C52" s="43">
        <f t="shared" si="1"/>
        <v>3959.7344352999444</v>
      </c>
      <c r="D52" s="43">
        <f t="shared" si="2"/>
        <v>1688.4059867772219</v>
      </c>
      <c r="E52" s="43">
        <f t="shared" si="3"/>
        <v>2271.3284485227227</v>
      </c>
      <c r="F52" s="43">
        <f t="shared" si="4"/>
        <v>543430.42165867623</v>
      </c>
      <c r="G52" s="43">
        <f t="shared" si="5"/>
        <v>85980.861329474239</v>
      </c>
    </row>
    <row r="53" spans="2:7" x14ac:dyDescent="0.4">
      <c r="B53" s="42">
        <f t="shared" si="0"/>
        <v>37</v>
      </c>
      <c r="C53" s="43">
        <f t="shared" si="1"/>
        <v>3959.7344352999444</v>
      </c>
      <c r="D53" s="43">
        <f t="shared" si="2"/>
        <v>1695.4410117221269</v>
      </c>
      <c r="E53" s="43">
        <f t="shared" si="3"/>
        <v>2264.2934235778175</v>
      </c>
      <c r="F53" s="43">
        <f t="shared" si="4"/>
        <v>541734.98064695415</v>
      </c>
      <c r="G53" s="43">
        <f t="shared" si="5"/>
        <v>88245.154753052077</v>
      </c>
    </row>
    <row r="54" spans="2:7" x14ac:dyDescent="0.4">
      <c r="B54" s="42">
        <f t="shared" si="0"/>
        <v>38</v>
      </c>
      <c r="C54" s="43">
        <f t="shared" si="1"/>
        <v>3959.7344352999444</v>
      </c>
      <c r="D54" s="43">
        <f t="shared" si="2"/>
        <v>1702.5053492709687</v>
      </c>
      <c r="E54" s="43">
        <f t="shared" si="3"/>
        <v>2257.229086028975</v>
      </c>
      <c r="F54" s="43">
        <f t="shared" si="4"/>
        <v>540032.47529768315</v>
      </c>
      <c r="G54" s="43">
        <f t="shared" si="5"/>
        <v>90502.383839081042</v>
      </c>
    </row>
    <row r="55" spans="2:7" x14ac:dyDescent="0.4">
      <c r="B55" s="42">
        <f t="shared" si="0"/>
        <v>39</v>
      </c>
      <c r="C55" s="43">
        <f t="shared" si="1"/>
        <v>3959.7344352999444</v>
      </c>
      <c r="D55" s="43">
        <f t="shared" si="2"/>
        <v>1709.599121559598</v>
      </c>
      <c r="E55" s="43">
        <f t="shared" si="3"/>
        <v>2250.1353137403457</v>
      </c>
      <c r="F55" s="43">
        <f t="shared" si="4"/>
        <v>538322.87617612351</v>
      </c>
      <c r="G55" s="43">
        <f t="shared" si="5"/>
        <v>92752.519152821376</v>
      </c>
    </row>
    <row r="56" spans="2:7" x14ac:dyDescent="0.4">
      <c r="B56" s="42">
        <f t="shared" si="0"/>
        <v>40</v>
      </c>
      <c r="C56" s="43">
        <f t="shared" si="1"/>
        <v>3959.7344352999444</v>
      </c>
      <c r="D56" s="43">
        <f t="shared" si="2"/>
        <v>1716.722451232763</v>
      </c>
      <c r="E56" s="43">
        <f t="shared" si="3"/>
        <v>2243.0119840671814</v>
      </c>
      <c r="F56" s="43">
        <f t="shared" si="4"/>
        <v>536606.15372489078</v>
      </c>
      <c r="G56" s="43">
        <f t="shared" si="5"/>
        <v>94995.531136888574</v>
      </c>
    </row>
    <row r="57" spans="2:7" x14ac:dyDescent="0.4">
      <c r="B57" s="42">
        <f t="shared" si="0"/>
        <v>41</v>
      </c>
      <c r="C57" s="43">
        <f t="shared" si="1"/>
        <v>3959.7344352999444</v>
      </c>
      <c r="D57" s="43">
        <f t="shared" si="2"/>
        <v>1723.875461446233</v>
      </c>
      <c r="E57" s="43">
        <f t="shared" si="3"/>
        <v>2235.8589738537116</v>
      </c>
      <c r="F57" s="43">
        <f t="shared" si="4"/>
        <v>534882.27826344455</v>
      </c>
      <c r="G57" s="43">
        <f t="shared" si="5"/>
        <v>97231.390110742272</v>
      </c>
    </row>
    <row r="58" spans="2:7" x14ac:dyDescent="0.4">
      <c r="B58" s="42">
        <f t="shared" si="0"/>
        <v>42</v>
      </c>
      <c r="C58" s="43">
        <f t="shared" si="1"/>
        <v>3959.7344352999444</v>
      </c>
      <c r="D58" s="43">
        <f t="shared" si="2"/>
        <v>1731.0582758689254</v>
      </c>
      <c r="E58" s="43">
        <f t="shared" si="3"/>
        <v>2228.6761594310187</v>
      </c>
      <c r="F58" s="43">
        <f t="shared" si="4"/>
        <v>533151.21998757566</v>
      </c>
      <c r="G58" s="43">
        <f t="shared" si="5"/>
        <v>99460.066270173294</v>
      </c>
    </row>
    <row r="59" spans="2:7" x14ac:dyDescent="0.4">
      <c r="B59" s="42">
        <f t="shared" si="0"/>
        <v>43</v>
      </c>
      <c r="C59" s="43">
        <f t="shared" si="1"/>
        <v>3959.7344352999444</v>
      </c>
      <c r="D59" s="43">
        <f t="shared" si="2"/>
        <v>1738.2710186850461</v>
      </c>
      <c r="E59" s="43">
        <f t="shared" si="3"/>
        <v>2221.4634166148981</v>
      </c>
      <c r="F59" s="43">
        <f t="shared" si="4"/>
        <v>531412.94896889059</v>
      </c>
      <c r="G59" s="43">
        <f t="shared" si="5"/>
        <v>101681.52968678817</v>
      </c>
    </row>
    <row r="60" spans="2:7" x14ac:dyDescent="0.4">
      <c r="B60" s="42">
        <f t="shared" si="0"/>
        <v>44</v>
      </c>
      <c r="C60" s="43">
        <f t="shared" si="1"/>
        <v>3959.7344352999444</v>
      </c>
      <c r="D60" s="43">
        <f t="shared" si="2"/>
        <v>1745.5138145962339</v>
      </c>
      <c r="E60" s="43">
        <f t="shared" si="3"/>
        <v>2214.2206207037107</v>
      </c>
      <c r="F60" s="43">
        <f t="shared" si="4"/>
        <v>529667.43515429436</v>
      </c>
      <c r="G60" s="43">
        <f t="shared" si="5"/>
        <v>103895.75030749192</v>
      </c>
    </row>
    <row r="61" spans="2:7" x14ac:dyDescent="0.4">
      <c r="B61" s="42">
        <f t="shared" si="0"/>
        <v>45</v>
      </c>
      <c r="C61" s="43">
        <f t="shared" si="1"/>
        <v>3959.7344352999444</v>
      </c>
      <c r="D61" s="43">
        <f t="shared" si="2"/>
        <v>1752.7867888237179</v>
      </c>
      <c r="E61" s="43">
        <f t="shared" si="3"/>
        <v>2206.9476464762261</v>
      </c>
      <c r="F61" s="43">
        <f t="shared" si="4"/>
        <v>527914.6483654707</v>
      </c>
      <c r="G61" s="43">
        <f t="shared" si="5"/>
        <v>106102.69795396815</v>
      </c>
    </row>
    <row r="62" spans="2:7" x14ac:dyDescent="0.4">
      <c r="B62" s="42">
        <f t="shared" si="0"/>
        <v>46</v>
      </c>
      <c r="C62" s="43">
        <f t="shared" si="1"/>
        <v>3959.7344352999444</v>
      </c>
      <c r="D62" s="43">
        <f t="shared" si="2"/>
        <v>1760.0900671104835</v>
      </c>
      <c r="E62" s="43">
        <f t="shared" si="3"/>
        <v>2199.6443681894607</v>
      </c>
      <c r="F62" s="43">
        <f t="shared" si="4"/>
        <v>526154.55829836021</v>
      </c>
      <c r="G62" s="43">
        <f t="shared" si="5"/>
        <v>108302.34232215759</v>
      </c>
    </row>
    <row r="63" spans="2:7" x14ac:dyDescent="0.4">
      <c r="B63" s="42">
        <f t="shared" si="0"/>
        <v>47</v>
      </c>
      <c r="C63" s="43">
        <f t="shared" si="1"/>
        <v>3959.7344352999444</v>
      </c>
      <c r="D63" s="43">
        <f t="shared" si="2"/>
        <v>1767.4237757234439</v>
      </c>
      <c r="E63" s="43">
        <f t="shared" si="3"/>
        <v>2192.3106595765003</v>
      </c>
      <c r="F63" s="43">
        <f t="shared" si="4"/>
        <v>524387.13452263665</v>
      </c>
      <c r="G63" s="43">
        <f t="shared" si="5"/>
        <v>110494.65298173411</v>
      </c>
    </row>
    <row r="64" spans="2:7" x14ac:dyDescent="0.4">
      <c r="B64" s="42">
        <f t="shared" si="0"/>
        <v>48</v>
      </c>
      <c r="C64" s="43">
        <f t="shared" si="1"/>
        <v>3959.7344352999444</v>
      </c>
      <c r="D64" s="43">
        <f t="shared" si="2"/>
        <v>1774.7880414556248</v>
      </c>
      <c r="E64" s="43">
        <f t="shared" si="3"/>
        <v>2184.94639384432</v>
      </c>
      <c r="F64" s="43">
        <f t="shared" si="4"/>
        <v>522612.3464811811</v>
      </c>
      <c r="G64" s="43">
        <f t="shared" si="5"/>
        <v>112679.59937557843</v>
      </c>
    </row>
    <row r="65" spans="2:7" x14ac:dyDescent="0.4">
      <c r="B65" s="42">
        <f t="shared" si="0"/>
        <v>49</v>
      </c>
      <c r="C65" s="43">
        <f t="shared" si="1"/>
        <v>3959.7344352999444</v>
      </c>
      <c r="D65" s="43">
        <f t="shared" si="2"/>
        <v>1782.1829916283568</v>
      </c>
      <c r="E65" s="43">
        <f t="shared" si="3"/>
        <v>2177.5514436715875</v>
      </c>
      <c r="F65" s="43">
        <f t="shared" si="4"/>
        <v>520830.16348955274</v>
      </c>
      <c r="G65" s="43">
        <f t="shared" si="5"/>
        <v>114857.15081925</v>
      </c>
    </row>
    <row r="66" spans="2:7" x14ac:dyDescent="0.4">
      <c r="B66" s="42">
        <f t="shared" si="0"/>
        <v>50</v>
      </c>
      <c r="C66" s="43">
        <f t="shared" si="1"/>
        <v>3959.7344352999444</v>
      </c>
      <c r="D66" s="43">
        <f t="shared" si="2"/>
        <v>1789.608754093475</v>
      </c>
      <c r="E66" s="43">
        <f t="shared" si="3"/>
        <v>2170.1256812064694</v>
      </c>
      <c r="F66" s="43">
        <f t="shared" si="4"/>
        <v>519040.55473545927</v>
      </c>
      <c r="G66" s="43">
        <f t="shared" si="5"/>
        <v>117027.27650045647</v>
      </c>
    </row>
    <row r="67" spans="2:7" x14ac:dyDescent="0.4">
      <c r="B67" s="42">
        <f t="shared" si="0"/>
        <v>51</v>
      </c>
      <c r="C67" s="43">
        <f t="shared" si="1"/>
        <v>3959.7344352999444</v>
      </c>
      <c r="D67" s="43">
        <f t="shared" si="2"/>
        <v>1797.0654572355309</v>
      </c>
      <c r="E67" s="43">
        <f t="shared" si="3"/>
        <v>2162.6689780644137</v>
      </c>
      <c r="F67" s="43">
        <f t="shared" si="4"/>
        <v>517243.48927822371</v>
      </c>
      <c r="G67" s="43">
        <f t="shared" si="5"/>
        <v>119189.94547852089</v>
      </c>
    </row>
    <row r="68" spans="2:7" x14ac:dyDescent="0.4">
      <c r="B68" s="42">
        <f t="shared" si="0"/>
        <v>52</v>
      </c>
      <c r="C68" s="43">
        <f t="shared" si="1"/>
        <v>3959.7344352999444</v>
      </c>
      <c r="D68" s="43">
        <f t="shared" si="2"/>
        <v>1804.5532299740123</v>
      </c>
      <c r="E68" s="43">
        <f t="shared" si="3"/>
        <v>2155.1812053259323</v>
      </c>
      <c r="F68" s="43">
        <f t="shared" si="4"/>
        <v>515438.93604824971</v>
      </c>
      <c r="G68" s="43">
        <f t="shared" si="5"/>
        <v>121345.12668384681</v>
      </c>
    </row>
    <row r="69" spans="2:7" x14ac:dyDescent="0.4">
      <c r="B69" s="42">
        <f t="shared" si="0"/>
        <v>53</v>
      </c>
      <c r="C69" s="43">
        <f t="shared" si="1"/>
        <v>3959.7344352999444</v>
      </c>
      <c r="D69" s="43">
        <f t="shared" si="2"/>
        <v>1812.0722017655708</v>
      </c>
      <c r="E69" s="43">
        <f t="shared" si="3"/>
        <v>2147.6622335343736</v>
      </c>
      <c r="F69" s="43">
        <f t="shared" si="4"/>
        <v>513626.86384648416</v>
      </c>
      <c r="G69" s="43">
        <f t="shared" si="5"/>
        <v>123492.78891738121</v>
      </c>
    </row>
    <row r="70" spans="2:7" x14ac:dyDescent="0.4">
      <c r="B70" s="42">
        <f t="shared" si="0"/>
        <v>54</v>
      </c>
      <c r="C70" s="43">
        <f t="shared" si="1"/>
        <v>3959.7344352999444</v>
      </c>
      <c r="D70" s="43">
        <f t="shared" si="2"/>
        <v>1819.6225026062607</v>
      </c>
      <c r="E70" s="43">
        <f t="shared" si="3"/>
        <v>2140.1119326936837</v>
      </c>
      <c r="F70" s="43">
        <f t="shared" si="4"/>
        <v>511807.24134387786</v>
      </c>
      <c r="G70" s="43">
        <f t="shared" si="5"/>
        <v>125632.90085007489</v>
      </c>
    </row>
    <row r="71" spans="2:7" x14ac:dyDescent="0.4">
      <c r="B71" s="42">
        <f t="shared" si="0"/>
        <v>55</v>
      </c>
      <c r="C71" s="43">
        <f t="shared" si="1"/>
        <v>3959.7344352999444</v>
      </c>
      <c r="D71" s="43">
        <f t="shared" si="2"/>
        <v>1827.2042630337867</v>
      </c>
      <c r="E71" s="43">
        <f t="shared" si="3"/>
        <v>2132.5301722661579</v>
      </c>
      <c r="F71" s="43">
        <f t="shared" si="4"/>
        <v>509980.03708084411</v>
      </c>
      <c r="G71" s="43">
        <f t="shared" si="5"/>
        <v>127765.43102234104</v>
      </c>
    </row>
    <row r="72" spans="2:7" x14ac:dyDescent="0.4">
      <c r="B72" s="42">
        <f t="shared" si="0"/>
        <v>56</v>
      </c>
      <c r="C72" s="43">
        <f t="shared" si="1"/>
        <v>3959.7344352999444</v>
      </c>
      <c r="D72" s="43">
        <f t="shared" si="2"/>
        <v>1834.8176141297608</v>
      </c>
      <c r="E72" s="43">
        <f t="shared" si="3"/>
        <v>2124.9168211701835</v>
      </c>
      <c r="F72" s="43">
        <f t="shared" si="4"/>
        <v>508145.2194667143</v>
      </c>
      <c r="G72" s="43">
        <f t="shared" si="5"/>
        <v>129890.34784351122</v>
      </c>
    </row>
    <row r="73" spans="2:7" x14ac:dyDescent="0.4">
      <c r="B73" s="42">
        <f t="shared" si="0"/>
        <v>57</v>
      </c>
      <c r="C73" s="43">
        <f t="shared" si="1"/>
        <v>3959.7344352999444</v>
      </c>
      <c r="D73" s="43">
        <f t="shared" si="2"/>
        <v>1842.4626875219683</v>
      </c>
      <c r="E73" s="43">
        <f t="shared" si="3"/>
        <v>2117.2717477779765</v>
      </c>
      <c r="F73" s="43">
        <f t="shared" si="4"/>
        <v>506302.75677919236</v>
      </c>
      <c r="G73" s="43">
        <f t="shared" si="5"/>
        <v>132007.6195912892</v>
      </c>
    </row>
    <row r="74" spans="2:7" x14ac:dyDescent="0.4">
      <c r="B74" s="42">
        <f t="shared" si="0"/>
        <v>58</v>
      </c>
      <c r="C74" s="43">
        <f t="shared" si="1"/>
        <v>3959.7344352999444</v>
      </c>
      <c r="D74" s="43">
        <f t="shared" si="2"/>
        <v>1850.1396153866433</v>
      </c>
      <c r="E74" s="43">
        <f t="shared" si="3"/>
        <v>2109.5948199133013</v>
      </c>
      <c r="F74" s="43">
        <f t="shared" si="4"/>
        <v>504452.6171638057</v>
      </c>
      <c r="G74" s="43">
        <f t="shared" si="5"/>
        <v>134117.21441120247</v>
      </c>
    </row>
    <row r="75" spans="2:7" x14ac:dyDescent="0.4">
      <c r="B75" s="42">
        <f t="shared" si="0"/>
        <v>59</v>
      </c>
      <c r="C75" s="43">
        <f t="shared" si="1"/>
        <v>3959.7344352999444</v>
      </c>
      <c r="D75" s="43">
        <f t="shared" si="2"/>
        <v>1857.848530450754</v>
      </c>
      <c r="E75" s="43">
        <f t="shared" si="3"/>
        <v>2101.8859048491904</v>
      </c>
      <c r="F75" s="43">
        <f t="shared" si="4"/>
        <v>502594.76863335498</v>
      </c>
      <c r="G75" s="43">
        <f t="shared" si="5"/>
        <v>136219.10031605168</v>
      </c>
    </row>
    <row r="76" spans="2:7" x14ac:dyDescent="0.4">
      <c r="B76" s="42">
        <f t="shared" si="0"/>
        <v>60</v>
      </c>
      <c r="C76" s="43">
        <f t="shared" si="1"/>
        <v>3959.7344352999444</v>
      </c>
      <c r="D76" s="43">
        <f t="shared" si="2"/>
        <v>1865.5895659942989</v>
      </c>
      <c r="E76" s="43">
        <f t="shared" si="3"/>
        <v>2094.1448693056454</v>
      </c>
      <c r="F76" s="43">
        <f t="shared" si="4"/>
        <v>500729.1790673607</v>
      </c>
      <c r="G76" s="43">
        <f t="shared" si="5"/>
        <v>138313.24518535734</v>
      </c>
    </row>
    <row r="77" spans="2:7" x14ac:dyDescent="0.4">
      <c r="B77" s="42">
        <f t="shared" si="0"/>
        <v>61</v>
      </c>
      <c r="C77" s="43">
        <f t="shared" si="1"/>
        <v>3959.7344352999444</v>
      </c>
      <c r="D77" s="43">
        <f t="shared" si="2"/>
        <v>1873.3628558526084</v>
      </c>
      <c r="E77" s="43">
        <f t="shared" si="3"/>
        <v>2086.371579447336</v>
      </c>
      <c r="F77" s="43">
        <f t="shared" si="4"/>
        <v>498855.81621150806</v>
      </c>
      <c r="G77" s="43">
        <f t="shared" si="5"/>
        <v>140399.61676480464</v>
      </c>
    </row>
    <row r="78" spans="2:7" x14ac:dyDescent="0.4">
      <c r="B78" s="42">
        <f t="shared" si="0"/>
        <v>62</v>
      </c>
      <c r="C78" s="43">
        <f t="shared" si="1"/>
        <v>3959.7344352999444</v>
      </c>
      <c r="D78" s="43">
        <f t="shared" si="2"/>
        <v>1881.168534418661</v>
      </c>
      <c r="E78" s="43">
        <f t="shared" si="3"/>
        <v>2078.5659008812831</v>
      </c>
      <c r="F78" s="43">
        <f t="shared" si="4"/>
        <v>496974.64767708938</v>
      </c>
      <c r="G78" s="43">
        <f t="shared" si="5"/>
        <v>142478.18266568595</v>
      </c>
    </row>
    <row r="79" spans="2:7" x14ac:dyDescent="0.4">
      <c r="B79" s="42">
        <f t="shared" si="0"/>
        <v>63</v>
      </c>
      <c r="C79" s="43">
        <f t="shared" si="1"/>
        <v>3959.7344352999444</v>
      </c>
      <c r="D79" s="43">
        <f t="shared" si="2"/>
        <v>1889.0067366454055</v>
      </c>
      <c r="E79" s="43">
        <f t="shared" si="3"/>
        <v>2070.7276986545389</v>
      </c>
      <c r="F79" s="43">
        <f t="shared" si="4"/>
        <v>495085.64094044396</v>
      </c>
      <c r="G79" s="43">
        <f t="shared" si="5"/>
        <v>144548.9103643405</v>
      </c>
    </row>
    <row r="80" spans="2:7" x14ac:dyDescent="0.4">
      <c r="B80" s="42">
        <f t="shared" si="0"/>
        <v>64</v>
      </c>
      <c r="C80" s="43">
        <f t="shared" si="1"/>
        <v>3959.7344352999444</v>
      </c>
      <c r="D80" s="43">
        <f t="shared" si="2"/>
        <v>1896.8775980480943</v>
      </c>
      <c r="E80" s="43">
        <f t="shared" si="3"/>
        <v>2062.8568372518503</v>
      </c>
      <c r="F80" s="43">
        <f t="shared" si="4"/>
        <v>493188.76334239595</v>
      </c>
      <c r="G80" s="43">
        <f t="shared" si="5"/>
        <v>146611.76720159239</v>
      </c>
    </row>
    <row r="81" spans="2:7" x14ac:dyDescent="0.4">
      <c r="B81" s="42">
        <f t="shared" si="0"/>
        <v>65</v>
      </c>
      <c r="C81" s="43">
        <f t="shared" si="1"/>
        <v>3959.7344352999444</v>
      </c>
      <c r="D81" s="43">
        <f t="shared" si="2"/>
        <v>1904.7812547066283</v>
      </c>
      <c r="E81" s="43">
        <f t="shared" si="3"/>
        <v>2054.9531805933161</v>
      </c>
      <c r="F81" s="43">
        <f t="shared" si="4"/>
        <v>491283.98208768928</v>
      </c>
      <c r="G81" s="43">
        <f t="shared" si="5"/>
        <v>148666.72038218565</v>
      </c>
    </row>
    <row r="82" spans="2:7" x14ac:dyDescent="0.4">
      <c r="B82" s="42">
        <f t="shared" si="0"/>
        <v>66</v>
      </c>
      <c r="C82" s="43">
        <f t="shared" si="1"/>
        <v>3959.7344352999444</v>
      </c>
      <c r="D82" s="43">
        <f t="shared" si="2"/>
        <v>1912.7178432679059</v>
      </c>
      <c r="E82" s="43">
        <f t="shared" si="3"/>
        <v>2047.0165920320387</v>
      </c>
      <c r="F82" s="43">
        <f t="shared" si="4"/>
        <v>489371.26424442139</v>
      </c>
      <c r="G82" s="43">
        <f t="shared" si="5"/>
        <v>150713.73697421775</v>
      </c>
    </row>
    <row r="83" spans="2:7" x14ac:dyDescent="0.4">
      <c r="B83" s="42">
        <f t="shared" ref="B83:B146" si="6">B82+1</f>
        <v>67</v>
      </c>
      <c r="C83" s="43">
        <f t="shared" ref="C83:C146" si="7">$C$14</f>
        <v>3959.7344352999444</v>
      </c>
      <c r="D83" s="43">
        <f t="shared" ref="D83:D146" si="8">-PPMT($C$11/$C$13,B83,$C$12*$C$13,$C$10)</f>
        <v>1920.6875009481887</v>
      </c>
      <c r="E83" s="43">
        <f t="shared" ref="E83:E146" si="9">-IPMT($C$11/$C$13,B83,$C$12*$C$13,$C$10)</f>
        <v>2039.0469343517557</v>
      </c>
      <c r="F83" s="43">
        <f t="shared" ref="F83:F146" si="10">$C$10+CUMPRINC($C$11/$C$13,$C$12*$C$13,$C$10,1,B83,0)</f>
        <v>487450.57674347318</v>
      </c>
      <c r="G83" s="43">
        <f t="shared" ref="G83:G146" si="11">CUMIPMT($C$11/$C$13,$C$12*$C$13,$C$10,1,B83,0)*-1</f>
        <v>152752.78390856946</v>
      </c>
    </row>
    <row r="84" spans="2:7" x14ac:dyDescent="0.4">
      <c r="B84" s="42">
        <f t="shared" si="6"/>
        <v>68</v>
      </c>
      <c r="C84" s="43">
        <f t="shared" si="7"/>
        <v>3959.7344352999444</v>
      </c>
      <c r="D84" s="43">
        <f t="shared" si="8"/>
        <v>1928.6903655354729</v>
      </c>
      <c r="E84" s="43">
        <f t="shared" si="9"/>
        <v>2031.0440697644717</v>
      </c>
      <c r="F84" s="43">
        <f t="shared" si="10"/>
        <v>485521.88637793774</v>
      </c>
      <c r="G84" s="43">
        <f t="shared" si="11"/>
        <v>154783.82797833398</v>
      </c>
    </row>
    <row r="85" spans="2:7" x14ac:dyDescent="0.4">
      <c r="B85" s="42">
        <f t="shared" si="6"/>
        <v>69</v>
      </c>
      <c r="C85" s="43">
        <f t="shared" si="7"/>
        <v>3959.7344352999444</v>
      </c>
      <c r="D85" s="43">
        <f t="shared" si="8"/>
        <v>1936.7265753918707</v>
      </c>
      <c r="E85" s="43">
        <f t="shared" si="9"/>
        <v>2023.0078599080739</v>
      </c>
      <c r="F85" s="43">
        <f t="shared" si="10"/>
        <v>483585.15980254585</v>
      </c>
      <c r="G85" s="43">
        <f t="shared" si="11"/>
        <v>156806.83583824203</v>
      </c>
    </row>
    <row r="86" spans="2:7" x14ac:dyDescent="0.4">
      <c r="B86" s="42">
        <f t="shared" si="6"/>
        <v>70</v>
      </c>
      <c r="C86" s="43">
        <f t="shared" si="7"/>
        <v>3959.7344352999444</v>
      </c>
      <c r="D86" s="43">
        <f t="shared" si="8"/>
        <v>1944.7962694560038</v>
      </c>
      <c r="E86" s="43">
        <f t="shared" si="9"/>
        <v>2014.9381658439411</v>
      </c>
      <c r="F86" s="43">
        <f t="shared" si="10"/>
        <v>481640.36353308981</v>
      </c>
      <c r="G86" s="43">
        <f t="shared" si="11"/>
        <v>158821.77400408592</v>
      </c>
    </row>
    <row r="87" spans="2:7" x14ac:dyDescent="0.4">
      <c r="B87" s="42">
        <f t="shared" si="6"/>
        <v>71</v>
      </c>
      <c r="C87" s="43">
        <f t="shared" si="7"/>
        <v>3959.7344352999444</v>
      </c>
      <c r="D87" s="43">
        <f t="shared" si="8"/>
        <v>1952.8995872454036</v>
      </c>
      <c r="E87" s="43">
        <f t="shared" si="9"/>
        <v>2006.8348480545405</v>
      </c>
      <c r="F87" s="43">
        <f t="shared" si="10"/>
        <v>479687.46394584444</v>
      </c>
      <c r="G87" s="43">
        <f t="shared" si="11"/>
        <v>160828.60885214049</v>
      </c>
    </row>
    <row r="88" spans="2:7" x14ac:dyDescent="0.4">
      <c r="B88" s="42">
        <f t="shared" si="6"/>
        <v>72</v>
      </c>
      <c r="C88" s="43">
        <f t="shared" si="7"/>
        <v>3959.7344352999444</v>
      </c>
      <c r="D88" s="43">
        <f t="shared" si="8"/>
        <v>1961.0366688589263</v>
      </c>
      <c r="E88" s="43">
        <f t="shared" si="9"/>
        <v>1998.6977664410183</v>
      </c>
      <c r="F88" s="43">
        <f t="shared" si="10"/>
        <v>477726.42727698549</v>
      </c>
      <c r="G88" s="43">
        <f t="shared" si="11"/>
        <v>162827.30661858147</v>
      </c>
    </row>
    <row r="89" spans="2:7" x14ac:dyDescent="0.4">
      <c r="B89" s="42">
        <f t="shared" si="6"/>
        <v>73</v>
      </c>
      <c r="C89" s="43">
        <f t="shared" si="7"/>
        <v>3959.7344352999444</v>
      </c>
      <c r="D89" s="43">
        <f t="shared" si="8"/>
        <v>1969.2076549791716</v>
      </c>
      <c r="E89" s="43">
        <f t="shared" si="9"/>
        <v>1990.5267803207728</v>
      </c>
      <c r="F89" s="43">
        <f t="shared" si="10"/>
        <v>475757.21962200635</v>
      </c>
      <c r="G89" s="43">
        <f t="shared" si="11"/>
        <v>164817.83339890226</v>
      </c>
    </row>
    <row r="90" spans="2:7" x14ac:dyDescent="0.4">
      <c r="B90" s="42">
        <f t="shared" si="6"/>
        <v>74</v>
      </c>
      <c r="C90" s="43">
        <f t="shared" si="7"/>
        <v>3959.7344352999444</v>
      </c>
      <c r="D90" s="43">
        <f t="shared" si="8"/>
        <v>1977.4126868749183</v>
      </c>
      <c r="E90" s="43">
        <f t="shared" si="9"/>
        <v>1982.3217484250265</v>
      </c>
      <c r="F90" s="43">
        <f t="shared" si="10"/>
        <v>473779.80693513143</v>
      </c>
      <c r="G90" s="43">
        <f t="shared" si="11"/>
        <v>166800.15514732731</v>
      </c>
    </row>
    <row r="91" spans="2:7" x14ac:dyDescent="0.4">
      <c r="B91" s="42">
        <f t="shared" si="6"/>
        <v>75</v>
      </c>
      <c r="C91" s="43">
        <f t="shared" si="7"/>
        <v>3959.7344352999444</v>
      </c>
      <c r="D91" s="43">
        <f t="shared" si="8"/>
        <v>1985.6519064035635</v>
      </c>
      <c r="E91" s="43">
        <f t="shared" si="9"/>
        <v>1974.0825288963806</v>
      </c>
      <c r="F91" s="43">
        <f t="shared" si="10"/>
        <v>471794.1550287279</v>
      </c>
      <c r="G91" s="43">
        <f t="shared" si="11"/>
        <v>168774.23767622374</v>
      </c>
    </row>
    <row r="92" spans="2:7" x14ac:dyDescent="0.4">
      <c r="B92" s="42">
        <f t="shared" si="6"/>
        <v>76</v>
      </c>
      <c r="C92" s="43">
        <f t="shared" si="7"/>
        <v>3959.7344352999444</v>
      </c>
      <c r="D92" s="43">
        <f t="shared" si="8"/>
        <v>1993.9254560135782</v>
      </c>
      <c r="E92" s="43">
        <f t="shared" si="9"/>
        <v>1965.8089792863657</v>
      </c>
      <c r="F92" s="43">
        <f t="shared" si="10"/>
        <v>469800.22957271431</v>
      </c>
      <c r="G92" s="43">
        <f t="shared" si="11"/>
        <v>170740.04665551006</v>
      </c>
    </row>
    <row r="93" spans="2:7" x14ac:dyDescent="0.4">
      <c r="B93" s="42">
        <f t="shared" si="6"/>
        <v>77</v>
      </c>
      <c r="C93" s="43">
        <f t="shared" si="7"/>
        <v>3959.7344352999444</v>
      </c>
      <c r="D93" s="43">
        <f t="shared" si="8"/>
        <v>2002.2334787469683</v>
      </c>
      <c r="E93" s="43">
        <f t="shared" si="9"/>
        <v>1957.5009565529763</v>
      </c>
      <c r="F93" s="43">
        <f t="shared" si="10"/>
        <v>467797.99609396723</v>
      </c>
      <c r="G93" s="43">
        <f t="shared" si="11"/>
        <v>172697.54761206298</v>
      </c>
    </row>
    <row r="94" spans="2:7" x14ac:dyDescent="0.4">
      <c r="B94" s="42">
        <f t="shared" si="6"/>
        <v>78</v>
      </c>
      <c r="C94" s="43">
        <f t="shared" si="7"/>
        <v>3959.7344352999444</v>
      </c>
      <c r="D94" s="43">
        <f t="shared" si="8"/>
        <v>2010.5761182417475</v>
      </c>
      <c r="E94" s="43">
        <f t="shared" si="9"/>
        <v>1949.1583170581976</v>
      </c>
      <c r="F94" s="43">
        <f t="shared" si="10"/>
        <v>465787.41997572558</v>
      </c>
      <c r="G94" s="43">
        <f t="shared" si="11"/>
        <v>174646.70592912121</v>
      </c>
    </row>
    <row r="95" spans="2:7" x14ac:dyDescent="0.4">
      <c r="B95" s="42">
        <f t="shared" si="6"/>
        <v>79</v>
      </c>
      <c r="C95" s="43">
        <f t="shared" si="7"/>
        <v>3959.7344352999444</v>
      </c>
      <c r="D95" s="43">
        <f t="shared" si="8"/>
        <v>2018.9535187344216</v>
      </c>
      <c r="E95" s="43">
        <f t="shared" si="9"/>
        <v>1940.7809165655235</v>
      </c>
      <c r="F95" s="43">
        <f t="shared" si="10"/>
        <v>463768.46645699115</v>
      </c>
      <c r="G95" s="43">
        <f t="shared" si="11"/>
        <v>176587.48684568671</v>
      </c>
    </row>
    <row r="96" spans="2:7" x14ac:dyDescent="0.4">
      <c r="B96" s="42">
        <f t="shared" si="6"/>
        <v>80</v>
      </c>
      <c r="C96" s="43">
        <f t="shared" si="7"/>
        <v>3959.7344352999444</v>
      </c>
      <c r="D96" s="43">
        <f t="shared" si="8"/>
        <v>2027.365825062481</v>
      </c>
      <c r="E96" s="43">
        <f t="shared" si="9"/>
        <v>1932.3686102374631</v>
      </c>
      <c r="F96" s="43">
        <f t="shared" si="10"/>
        <v>461741.10063192865</v>
      </c>
      <c r="G96" s="43">
        <f t="shared" si="11"/>
        <v>178519.8554559242</v>
      </c>
    </row>
    <row r="97" spans="2:7" x14ac:dyDescent="0.4">
      <c r="B97" s="42">
        <f t="shared" si="6"/>
        <v>81</v>
      </c>
      <c r="C97" s="43">
        <f t="shared" si="7"/>
        <v>3959.7344352999444</v>
      </c>
      <c r="D97" s="43">
        <f t="shared" si="8"/>
        <v>2035.8131826669087</v>
      </c>
      <c r="E97" s="43">
        <f t="shared" si="9"/>
        <v>1923.9212526330359</v>
      </c>
      <c r="F97" s="43">
        <f t="shared" si="10"/>
        <v>459705.28744926176</v>
      </c>
      <c r="G97" s="43">
        <f t="shared" si="11"/>
        <v>180443.77670855724</v>
      </c>
    </row>
    <row r="98" spans="2:7" x14ac:dyDescent="0.4">
      <c r="B98" s="42">
        <f t="shared" si="6"/>
        <v>82</v>
      </c>
      <c r="C98" s="43">
        <f t="shared" si="7"/>
        <v>3959.7344352999444</v>
      </c>
      <c r="D98" s="43">
        <f t="shared" si="8"/>
        <v>2044.2957375946874</v>
      </c>
      <c r="E98" s="43">
        <f t="shared" si="9"/>
        <v>1915.438697705257</v>
      </c>
      <c r="F98" s="43">
        <f t="shared" si="10"/>
        <v>457660.99171166704</v>
      </c>
      <c r="G98" s="43">
        <f t="shared" si="11"/>
        <v>182359.21540626252</v>
      </c>
    </row>
    <row r="99" spans="2:7" x14ac:dyDescent="0.4">
      <c r="B99" s="42">
        <f t="shared" si="6"/>
        <v>83</v>
      </c>
      <c r="C99" s="43">
        <f t="shared" si="7"/>
        <v>3959.7344352999444</v>
      </c>
      <c r="D99" s="43">
        <f t="shared" si="8"/>
        <v>2052.813636501332</v>
      </c>
      <c r="E99" s="43">
        <f t="shared" si="9"/>
        <v>1906.9207987986124</v>
      </c>
      <c r="F99" s="43">
        <f t="shared" si="10"/>
        <v>455608.17807516572</v>
      </c>
      <c r="G99" s="43">
        <f t="shared" si="11"/>
        <v>184266.13620506111</v>
      </c>
    </row>
    <row r="100" spans="2:7" x14ac:dyDescent="0.4">
      <c r="B100" s="42">
        <f t="shared" si="6"/>
        <v>84</v>
      </c>
      <c r="C100" s="43">
        <f t="shared" si="7"/>
        <v>3959.7344352999444</v>
      </c>
      <c r="D100" s="43">
        <f t="shared" si="8"/>
        <v>2061.3670266534205</v>
      </c>
      <c r="E100" s="43">
        <f t="shared" si="9"/>
        <v>1898.3674086465235</v>
      </c>
      <c r="F100" s="43">
        <f t="shared" si="10"/>
        <v>453546.81104851235</v>
      </c>
      <c r="G100" s="43">
        <f t="shared" si="11"/>
        <v>186164.50361370764</v>
      </c>
    </row>
    <row r="101" spans="2:7" x14ac:dyDescent="0.4">
      <c r="B101" s="42">
        <f t="shared" si="6"/>
        <v>85</v>
      </c>
      <c r="C101" s="43">
        <f t="shared" si="7"/>
        <v>3959.7344352999444</v>
      </c>
      <c r="D101" s="43">
        <f t="shared" si="8"/>
        <v>2069.9560559311435</v>
      </c>
      <c r="E101" s="43">
        <f t="shared" si="9"/>
        <v>1889.7783793688013</v>
      </c>
      <c r="F101" s="43">
        <f t="shared" si="10"/>
        <v>451476.85499258118</v>
      </c>
      <c r="G101" s="43">
        <f t="shared" si="11"/>
        <v>188054.28199307641</v>
      </c>
    </row>
    <row r="102" spans="2:7" x14ac:dyDescent="0.4">
      <c r="B102" s="42">
        <f t="shared" si="6"/>
        <v>86</v>
      </c>
      <c r="C102" s="43">
        <f t="shared" si="7"/>
        <v>3959.7344352999444</v>
      </c>
      <c r="D102" s="43">
        <f t="shared" si="8"/>
        <v>2078.5808728308566</v>
      </c>
      <c r="E102" s="43">
        <f t="shared" si="9"/>
        <v>1881.153562469088</v>
      </c>
      <c r="F102" s="43">
        <f t="shared" si="10"/>
        <v>449398.27411975036</v>
      </c>
      <c r="G102" s="43">
        <f t="shared" si="11"/>
        <v>189935.43555554553</v>
      </c>
    </row>
    <row r="103" spans="2:7" x14ac:dyDescent="0.4">
      <c r="B103" s="42">
        <f t="shared" si="6"/>
        <v>87</v>
      </c>
      <c r="C103" s="43">
        <f t="shared" si="7"/>
        <v>3959.7344352999444</v>
      </c>
      <c r="D103" s="43">
        <f t="shared" si="8"/>
        <v>2087.2416264676517</v>
      </c>
      <c r="E103" s="43">
        <f t="shared" si="9"/>
        <v>1872.4928088322929</v>
      </c>
      <c r="F103" s="43">
        <f t="shared" si="10"/>
        <v>447311.03249328269</v>
      </c>
      <c r="G103" s="43">
        <f t="shared" si="11"/>
        <v>191807.92836437785</v>
      </c>
    </row>
    <row r="104" spans="2:7" x14ac:dyDescent="0.4">
      <c r="B104" s="42">
        <f t="shared" si="6"/>
        <v>88</v>
      </c>
      <c r="C104" s="43">
        <f t="shared" si="7"/>
        <v>3959.7344352999444</v>
      </c>
      <c r="D104" s="43">
        <f t="shared" si="8"/>
        <v>2095.9384665779335</v>
      </c>
      <c r="E104" s="43">
        <f t="shared" si="9"/>
        <v>1863.7959687220111</v>
      </c>
      <c r="F104" s="43">
        <f t="shared" si="10"/>
        <v>445215.09402670473</v>
      </c>
      <c r="G104" s="43">
        <f t="shared" si="11"/>
        <v>193671.72433309985</v>
      </c>
    </row>
    <row r="105" spans="2:7" x14ac:dyDescent="0.4">
      <c r="B105" s="42">
        <f t="shared" si="6"/>
        <v>89</v>
      </c>
      <c r="C105" s="43">
        <f t="shared" si="7"/>
        <v>3959.7344352999444</v>
      </c>
      <c r="D105" s="43">
        <f t="shared" si="8"/>
        <v>2104.6715435220081</v>
      </c>
      <c r="E105" s="43">
        <f t="shared" si="9"/>
        <v>1855.0628917779363</v>
      </c>
      <c r="F105" s="43">
        <f t="shared" si="10"/>
        <v>443110.42248318275</v>
      </c>
      <c r="G105" s="43">
        <f t="shared" si="11"/>
        <v>195526.7872248778</v>
      </c>
    </row>
    <row r="106" spans="2:7" x14ac:dyDescent="0.4">
      <c r="B106" s="42">
        <f t="shared" si="6"/>
        <v>90</v>
      </c>
      <c r="C106" s="43">
        <f t="shared" si="7"/>
        <v>3959.7344352999444</v>
      </c>
      <c r="D106" s="43">
        <f t="shared" si="8"/>
        <v>2113.441008286683</v>
      </c>
      <c r="E106" s="43">
        <f t="shared" si="9"/>
        <v>1846.2934270132612</v>
      </c>
      <c r="F106" s="43">
        <f t="shared" si="10"/>
        <v>440996.98147489608</v>
      </c>
      <c r="G106" s="43">
        <f t="shared" si="11"/>
        <v>197373.08065189107</v>
      </c>
    </row>
    <row r="107" spans="2:7" x14ac:dyDescent="0.4">
      <c r="B107" s="42">
        <f t="shared" si="6"/>
        <v>91</v>
      </c>
      <c r="C107" s="43">
        <f t="shared" si="7"/>
        <v>3959.7344352999444</v>
      </c>
      <c r="D107" s="43">
        <f t="shared" si="8"/>
        <v>2122.2470124878773</v>
      </c>
      <c r="E107" s="43">
        <f t="shared" si="9"/>
        <v>1837.4874228120664</v>
      </c>
      <c r="F107" s="43">
        <f t="shared" si="10"/>
        <v>438874.73446240823</v>
      </c>
      <c r="G107" s="43">
        <f t="shared" si="11"/>
        <v>199210.56807470313</v>
      </c>
    </row>
    <row r="108" spans="2:7" x14ac:dyDescent="0.4">
      <c r="B108" s="42">
        <f t="shared" si="6"/>
        <v>92</v>
      </c>
      <c r="C108" s="43">
        <f t="shared" si="7"/>
        <v>3959.7344352999444</v>
      </c>
      <c r="D108" s="43">
        <f t="shared" si="8"/>
        <v>2131.0897083732439</v>
      </c>
      <c r="E108" s="43">
        <f t="shared" si="9"/>
        <v>1828.6447269267005</v>
      </c>
      <c r="F108" s="43">
        <f t="shared" si="10"/>
        <v>436743.64475403493</v>
      </c>
      <c r="G108" s="43">
        <f t="shared" si="11"/>
        <v>201039.21280162979</v>
      </c>
    </row>
    <row r="109" spans="2:7" x14ac:dyDescent="0.4">
      <c r="B109" s="42">
        <f t="shared" si="6"/>
        <v>93</v>
      </c>
      <c r="C109" s="43">
        <f t="shared" si="7"/>
        <v>3959.7344352999444</v>
      </c>
      <c r="D109" s="43">
        <f t="shared" si="8"/>
        <v>2139.9692488247988</v>
      </c>
      <c r="E109" s="43">
        <f t="shared" si="9"/>
        <v>1819.7651864751454</v>
      </c>
      <c r="F109" s="43">
        <f t="shared" si="10"/>
        <v>434603.67550521012</v>
      </c>
      <c r="G109" s="43">
        <f t="shared" si="11"/>
        <v>202858.97798810498</v>
      </c>
    </row>
    <row r="110" spans="2:7" x14ac:dyDescent="0.4">
      <c r="B110" s="42">
        <f t="shared" si="6"/>
        <v>94</v>
      </c>
      <c r="C110" s="43">
        <f t="shared" si="7"/>
        <v>3959.7344352999444</v>
      </c>
      <c r="D110" s="43">
        <f t="shared" si="8"/>
        <v>2148.8857873615693</v>
      </c>
      <c r="E110" s="43">
        <f t="shared" si="9"/>
        <v>1810.8486479383755</v>
      </c>
      <c r="F110" s="43">
        <f t="shared" si="10"/>
        <v>432454.78971784853</v>
      </c>
      <c r="G110" s="43">
        <f t="shared" si="11"/>
        <v>204669.82663604329</v>
      </c>
    </row>
    <row r="111" spans="2:7" x14ac:dyDescent="0.4">
      <c r="B111" s="42">
        <f t="shared" si="6"/>
        <v>95</v>
      </c>
      <c r="C111" s="43">
        <f t="shared" si="7"/>
        <v>3959.7344352999444</v>
      </c>
      <c r="D111" s="43">
        <f t="shared" si="8"/>
        <v>2157.8394781422426</v>
      </c>
      <c r="E111" s="43">
        <f t="shared" si="9"/>
        <v>1801.8949571577025</v>
      </c>
      <c r="F111" s="43">
        <f t="shared" si="10"/>
        <v>430296.95023970632</v>
      </c>
      <c r="G111" s="43">
        <f t="shared" si="11"/>
        <v>206471.72159320101</v>
      </c>
    </row>
    <row r="112" spans="2:7" x14ac:dyDescent="0.4">
      <c r="B112" s="42">
        <f t="shared" si="6"/>
        <v>96</v>
      </c>
      <c r="C112" s="43">
        <f t="shared" si="7"/>
        <v>3959.7344352999444</v>
      </c>
      <c r="D112" s="43">
        <f t="shared" si="8"/>
        <v>2166.8304759678349</v>
      </c>
      <c r="E112" s="43">
        <f t="shared" si="9"/>
        <v>1792.9039593321095</v>
      </c>
      <c r="F112" s="43">
        <f t="shared" si="10"/>
        <v>428130.11976373848</v>
      </c>
      <c r="G112" s="43">
        <f t="shared" si="11"/>
        <v>208264.62555253314</v>
      </c>
    </row>
    <row r="113" spans="2:7" x14ac:dyDescent="0.4">
      <c r="B113" s="42">
        <f t="shared" si="6"/>
        <v>97</v>
      </c>
      <c r="C113" s="43">
        <f t="shared" si="7"/>
        <v>3959.7344352999444</v>
      </c>
      <c r="D113" s="43">
        <f t="shared" si="8"/>
        <v>2175.8589362843677</v>
      </c>
      <c r="E113" s="43">
        <f t="shared" si="9"/>
        <v>1783.8754990155767</v>
      </c>
      <c r="F113" s="43">
        <f t="shared" si="10"/>
        <v>425954.2608274541</v>
      </c>
      <c r="G113" s="43">
        <f t="shared" si="11"/>
        <v>210048.50105154869</v>
      </c>
    </row>
    <row r="114" spans="2:7" x14ac:dyDescent="0.4">
      <c r="B114" s="42">
        <f t="shared" si="6"/>
        <v>98</v>
      </c>
      <c r="C114" s="43">
        <f t="shared" si="7"/>
        <v>3959.7344352999444</v>
      </c>
      <c r="D114" s="43">
        <f t="shared" si="8"/>
        <v>2184.9250151855526</v>
      </c>
      <c r="E114" s="43">
        <f t="shared" si="9"/>
        <v>1774.8094201143922</v>
      </c>
      <c r="F114" s="43">
        <f t="shared" si="10"/>
        <v>423769.33581226855</v>
      </c>
      <c r="G114" s="43">
        <f t="shared" si="11"/>
        <v>211823.31047166311</v>
      </c>
    </row>
    <row r="115" spans="2:7" x14ac:dyDescent="0.4">
      <c r="B115" s="42">
        <f t="shared" si="6"/>
        <v>99</v>
      </c>
      <c r="C115" s="43">
        <f t="shared" si="7"/>
        <v>3959.7344352999444</v>
      </c>
      <c r="D115" s="43">
        <f t="shared" si="8"/>
        <v>2194.0288694154924</v>
      </c>
      <c r="E115" s="43">
        <f t="shared" si="9"/>
        <v>1765.705565884452</v>
      </c>
      <c r="F115" s="43">
        <f t="shared" si="10"/>
        <v>421575.30694285303</v>
      </c>
      <c r="G115" s="43">
        <f t="shared" si="11"/>
        <v>213589.01603754752</v>
      </c>
    </row>
    <row r="116" spans="2:7" x14ac:dyDescent="0.4">
      <c r="B116" s="42">
        <f t="shared" si="6"/>
        <v>100</v>
      </c>
      <c r="C116" s="43">
        <f t="shared" si="7"/>
        <v>3959.7344352999444</v>
      </c>
      <c r="D116" s="43">
        <f t="shared" si="8"/>
        <v>2203.1706563713901</v>
      </c>
      <c r="E116" s="43">
        <f t="shared" si="9"/>
        <v>1756.5637789285543</v>
      </c>
      <c r="F116" s="43">
        <f t="shared" si="10"/>
        <v>419372.13628648169</v>
      </c>
      <c r="G116" s="43">
        <f t="shared" si="11"/>
        <v>215345.57981647615</v>
      </c>
    </row>
    <row r="117" spans="2:7" x14ac:dyDescent="0.4">
      <c r="B117" s="42">
        <f t="shared" si="6"/>
        <v>101</v>
      </c>
      <c r="C117" s="43">
        <f t="shared" si="7"/>
        <v>3959.7344352999444</v>
      </c>
      <c r="D117" s="43">
        <f t="shared" si="8"/>
        <v>2212.3505341062705</v>
      </c>
      <c r="E117" s="43">
        <f t="shared" si="9"/>
        <v>1747.3839011936732</v>
      </c>
      <c r="F117" s="43">
        <f t="shared" si="10"/>
        <v>417159.78575237544</v>
      </c>
      <c r="G117" s="43">
        <f t="shared" si="11"/>
        <v>217092.96371766983</v>
      </c>
    </row>
    <row r="118" spans="2:7" x14ac:dyDescent="0.4">
      <c r="B118" s="42">
        <f t="shared" si="6"/>
        <v>102</v>
      </c>
      <c r="C118" s="43">
        <f t="shared" si="7"/>
        <v>3959.7344352999444</v>
      </c>
      <c r="D118" s="43">
        <f t="shared" si="8"/>
        <v>2221.5686613317134</v>
      </c>
      <c r="E118" s="43">
        <f t="shared" si="9"/>
        <v>1738.1657739682307</v>
      </c>
      <c r="F118" s="43">
        <f t="shared" si="10"/>
        <v>414938.21709104371</v>
      </c>
      <c r="G118" s="43">
        <f t="shared" si="11"/>
        <v>218831.12949163804</v>
      </c>
    </row>
    <row r="119" spans="2:7" x14ac:dyDescent="0.4">
      <c r="B119" s="42">
        <f t="shared" si="6"/>
        <v>103</v>
      </c>
      <c r="C119" s="43">
        <f t="shared" si="7"/>
        <v>3959.7344352999444</v>
      </c>
      <c r="D119" s="43">
        <f t="shared" si="8"/>
        <v>2230.8251974205959</v>
      </c>
      <c r="E119" s="43">
        <f t="shared" si="9"/>
        <v>1728.9092378793487</v>
      </c>
      <c r="F119" s="43">
        <f t="shared" si="10"/>
        <v>412707.39189362305</v>
      </c>
      <c r="G119" s="43">
        <f t="shared" si="11"/>
        <v>220560.03872951734</v>
      </c>
    </row>
    <row r="120" spans="2:7" x14ac:dyDescent="0.4">
      <c r="B120" s="42">
        <f t="shared" si="6"/>
        <v>104</v>
      </c>
      <c r="C120" s="43">
        <f t="shared" si="7"/>
        <v>3959.7344352999444</v>
      </c>
      <c r="D120" s="43">
        <f t="shared" si="8"/>
        <v>2240.1203024098481</v>
      </c>
      <c r="E120" s="43">
        <f t="shared" si="9"/>
        <v>1719.6141328900962</v>
      </c>
      <c r="F120" s="43">
        <f t="shared" si="10"/>
        <v>410467.2715912133</v>
      </c>
      <c r="G120" s="43">
        <f t="shared" si="11"/>
        <v>222279.65286240747</v>
      </c>
    </row>
    <row r="121" spans="2:7" x14ac:dyDescent="0.4">
      <c r="B121" s="42">
        <f t="shared" si="6"/>
        <v>105</v>
      </c>
      <c r="C121" s="43">
        <f t="shared" si="7"/>
        <v>3959.7344352999444</v>
      </c>
      <c r="D121" s="43">
        <f t="shared" si="8"/>
        <v>2249.454137003223</v>
      </c>
      <c r="E121" s="43">
        <f t="shared" si="9"/>
        <v>1710.2802982967223</v>
      </c>
      <c r="F121" s="43">
        <f t="shared" si="10"/>
        <v>408217.81745421002</v>
      </c>
      <c r="G121" s="43">
        <f t="shared" si="11"/>
        <v>223989.93316070418</v>
      </c>
    </row>
    <row r="122" spans="2:7" x14ac:dyDescent="0.4">
      <c r="B122" s="42">
        <f t="shared" si="6"/>
        <v>106</v>
      </c>
      <c r="C122" s="43">
        <f t="shared" si="7"/>
        <v>3959.7344352999444</v>
      </c>
      <c r="D122" s="43">
        <f t="shared" si="8"/>
        <v>2258.8268625740693</v>
      </c>
      <c r="E122" s="43">
        <f t="shared" si="9"/>
        <v>1700.9075727258751</v>
      </c>
      <c r="F122" s="43">
        <f t="shared" si="10"/>
        <v>405958.99059163593</v>
      </c>
      <c r="G122" s="43">
        <f t="shared" si="11"/>
        <v>225690.84073343009</v>
      </c>
    </row>
    <row r="123" spans="2:7" x14ac:dyDescent="0.4">
      <c r="B123" s="42">
        <f t="shared" si="6"/>
        <v>107</v>
      </c>
      <c r="C123" s="43">
        <f t="shared" si="7"/>
        <v>3959.7344352999444</v>
      </c>
      <c r="D123" s="43">
        <f t="shared" si="8"/>
        <v>2268.2386411681282</v>
      </c>
      <c r="E123" s="43">
        <f t="shared" si="9"/>
        <v>1691.4957941318162</v>
      </c>
      <c r="F123" s="43">
        <f t="shared" si="10"/>
        <v>403690.75195046782</v>
      </c>
      <c r="G123" s="43">
        <f t="shared" si="11"/>
        <v>227382.33652756189</v>
      </c>
    </row>
    <row r="124" spans="2:7" x14ac:dyDescent="0.4">
      <c r="B124" s="42">
        <f t="shared" si="6"/>
        <v>108</v>
      </c>
      <c r="C124" s="43">
        <f t="shared" si="7"/>
        <v>3959.7344352999444</v>
      </c>
      <c r="D124" s="43">
        <f t="shared" si="8"/>
        <v>2277.6896355063286</v>
      </c>
      <c r="E124" s="43">
        <f t="shared" si="9"/>
        <v>1682.0447997936155</v>
      </c>
      <c r="F124" s="43">
        <f t="shared" si="10"/>
        <v>401413.06231496151</v>
      </c>
      <c r="G124" s="43">
        <f t="shared" si="11"/>
        <v>229064.38132735551</v>
      </c>
    </row>
    <row r="125" spans="2:7" x14ac:dyDescent="0.4">
      <c r="B125" s="42">
        <f t="shared" si="6"/>
        <v>109</v>
      </c>
      <c r="C125" s="43">
        <f t="shared" si="7"/>
        <v>3959.7344352999444</v>
      </c>
      <c r="D125" s="43">
        <f t="shared" si="8"/>
        <v>2287.1800089876051</v>
      </c>
      <c r="E125" s="43">
        <f t="shared" si="9"/>
        <v>1672.5544263123393</v>
      </c>
      <c r="F125" s="43">
        <f t="shared" si="10"/>
        <v>399125.88230597391</v>
      </c>
      <c r="G125" s="43">
        <f t="shared" si="11"/>
        <v>230736.93575366781</v>
      </c>
    </row>
    <row r="126" spans="2:7" x14ac:dyDescent="0.4">
      <c r="B126" s="42">
        <f t="shared" si="6"/>
        <v>110</v>
      </c>
      <c r="C126" s="43">
        <f t="shared" si="7"/>
        <v>3959.7344352999444</v>
      </c>
      <c r="D126" s="43">
        <f t="shared" si="8"/>
        <v>2296.7099256917199</v>
      </c>
      <c r="E126" s="43">
        <f t="shared" si="9"/>
        <v>1663.0245096082247</v>
      </c>
      <c r="F126" s="43">
        <f t="shared" si="10"/>
        <v>396829.17238028219</v>
      </c>
      <c r="G126" s="43">
        <f t="shared" si="11"/>
        <v>232399.96026327604</v>
      </c>
    </row>
    <row r="127" spans="2:7" x14ac:dyDescent="0.4">
      <c r="B127" s="42">
        <f t="shared" si="6"/>
        <v>111</v>
      </c>
      <c r="C127" s="43">
        <f t="shared" si="7"/>
        <v>3959.7344352999444</v>
      </c>
      <c r="D127" s="43">
        <f t="shared" si="8"/>
        <v>2306.2795503821026</v>
      </c>
      <c r="E127" s="43">
        <f t="shared" si="9"/>
        <v>1653.4548849178423</v>
      </c>
      <c r="F127" s="43">
        <f t="shared" si="10"/>
        <v>394522.89282990003</v>
      </c>
      <c r="G127" s="43">
        <f t="shared" si="11"/>
        <v>234053.41514819386</v>
      </c>
    </row>
    <row r="128" spans="2:7" x14ac:dyDescent="0.4">
      <c r="B128" s="42">
        <f t="shared" si="6"/>
        <v>112</v>
      </c>
      <c r="C128" s="43">
        <f t="shared" si="7"/>
        <v>3959.7344352999444</v>
      </c>
      <c r="D128" s="43">
        <f t="shared" si="8"/>
        <v>2315.8890485086945</v>
      </c>
      <c r="E128" s="43">
        <f t="shared" si="9"/>
        <v>1643.8453867912503</v>
      </c>
      <c r="F128" s="43">
        <f t="shared" si="10"/>
        <v>392207.00378139137</v>
      </c>
      <c r="G128" s="43">
        <f t="shared" si="11"/>
        <v>235697.26053498517</v>
      </c>
    </row>
    <row r="129" spans="2:7" x14ac:dyDescent="0.4">
      <c r="B129" s="42">
        <f t="shared" si="6"/>
        <v>113</v>
      </c>
      <c r="C129" s="43">
        <f t="shared" si="7"/>
        <v>3959.7344352999444</v>
      </c>
      <c r="D129" s="43">
        <f t="shared" si="8"/>
        <v>2325.5385862108142</v>
      </c>
      <c r="E129" s="43">
        <f t="shared" si="9"/>
        <v>1634.1958490891309</v>
      </c>
      <c r="F129" s="43">
        <f t="shared" si="10"/>
        <v>389881.46519518056</v>
      </c>
      <c r="G129" s="43">
        <f t="shared" si="11"/>
        <v>237331.45638407429</v>
      </c>
    </row>
    <row r="130" spans="2:7" x14ac:dyDescent="0.4">
      <c r="B130" s="42">
        <f t="shared" si="6"/>
        <v>114</v>
      </c>
      <c r="C130" s="43">
        <f t="shared" si="7"/>
        <v>3959.7344352999444</v>
      </c>
      <c r="D130" s="43">
        <f t="shared" si="8"/>
        <v>2335.2283303200252</v>
      </c>
      <c r="E130" s="43">
        <f t="shared" si="9"/>
        <v>1624.506104979919</v>
      </c>
      <c r="F130" s="43">
        <f t="shared" si="10"/>
        <v>387546.23686486052</v>
      </c>
      <c r="G130" s="43">
        <f t="shared" si="11"/>
        <v>238955.96248905422</v>
      </c>
    </row>
    <row r="131" spans="2:7" x14ac:dyDescent="0.4">
      <c r="B131" s="42">
        <f t="shared" si="6"/>
        <v>115</v>
      </c>
      <c r="C131" s="43">
        <f t="shared" si="7"/>
        <v>3959.7344352999444</v>
      </c>
      <c r="D131" s="43">
        <f t="shared" si="8"/>
        <v>2344.9584483630256</v>
      </c>
      <c r="E131" s="43">
        <f t="shared" si="9"/>
        <v>1614.7759869369188</v>
      </c>
      <c r="F131" s="43">
        <f t="shared" si="10"/>
        <v>385201.27841649752</v>
      </c>
      <c r="G131" s="43">
        <f t="shared" si="11"/>
        <v>240570.73847599112</v>
      </c>
    </row>
    <row r="132" spans="2:7" x14ac:dyDescent="0.4">
      <c r="B132" s="42">
        <f t="shared" si="6"/>
        <v>116</v>
      </c>
      <c r="C132" s="43">
        <f t="shared" si="7"/>
        <v>3959.7344352999444</v>
      </c>
      <c r="D132" s="43">
        <f t="shared" si="8"/>
        <v>2354.7291085645384</v>
      </c>
      <c r="E132" s="43">
        <f t="shared" si="9"/>
        <v>1605.0053267354062</v>
      </c>
      <c r="F132" s="43">
        <f t="shared" si="10"/>
        <v>382846.54930793296</v>
      </c>
      <c r="G132" s="43">
        <f t="shared" si="11"/>
        <v>242175.74380272653</v>
      </c>
    </row>
    <row r="133" spans="2:7" x14ac:dyDescent="0.4">
      <c r="B133" s="42">
        <f t="shared" si="6"/>
        <v>117</v>
      </c>
      <c r="C133" s="43">
        <f t="shared" si="7"/>
        <v>3959.7344352999444</v>
      </c>
      <c r="D133" s="43">
        <f t="shared" si="8"/>
        <v>2364.5404798502236</v>
      </c>
      <c r="E133" s="43">
        <f t="shared" si="9"/>
        <v>1595.1939554497212</v>
      </c>
      <c r="F133" s="43">
        <f t="shared" si="10"/>
        <v>380482.00882808276</v>
      </c>
      <c r="G133" s="43">
        <f t="shared" si="11"/>
        <v>243770.93775817624</v>
      </c>
    </row>
    <row r="134" spans="2:7" x14ac:dyDescent="0.4">
      <c r="B134" s="42">
        <f t="shared" si="6"/>
        <v>118</v>
      </c>
      <c r="C134" s="43">
        <f t="shared" si="7"/>
        <v>3959.7344352999444</v>
      </c>
      <c r="D134" s="43">
        <f t="shared" si="8"/>
        <v>2374.3927318495994</v>
      </c>
      <c r="E134" s="43">
        <f t="shared" si="9"/>
        <v>1585.3417034503445</v>
      </c>
      <c r="F134" s="43">
        <f t="shared" si="10"/>
        <v>378107.61609623325</v>
      </c>
      <c r="G134" s="43">
        <f t="shared" si="11"/>
        <v>245356.27946162666</v>
      </c>
    </row>
    <row r="135" spans="2:7" x14ac:dyDescent="0.4">
      <c r="B135" s="42">
        <f t="shared" si="6"/>
        <v>119</v>
      </c>
      <c r="C135" s="43">
        <f t="shared" si="7"/>
        <v>3959.7344352999444</v>
      </c>
      <c r="D135" s="43">
        <f t="shared" si="8"/>
        <v>2384.286034898973</v>
      </c>
      <c r="E135" s="43">
        <f t="shared" si="9"/>
        <v>1575.4484004009714</v>
      </c>
      <c r="F135" s="43">
        <f t="shared" si="10"/>
        <v>375723.33006133419</v>
      </c>
      <c r="G135" s="43">
        <f t="shared" si="11"/>
        <v>246931.72786202762</v>
      </c>
    </row>
    <row r="136" spans="2:7" x14ac:dyDescent="0.4">
      <c r="B136" s="42">
        <f t="shared" si="6"/>
        <v>120</v>
      </c>
      <c r="C136" s="43">
        <f t="shared" si="7"/>
        <v>3959.7344352999444</v>
      </c>
      <c r="D136" s="43">
        <f t="shared" si="8"/>
        <v>2394.2205600443858</v>
      </c>
      <c r="E136" s="43">
        <f t="shared" si="9"/>
        <v>1565.5138752555588</v>
      </c>
      <c r="F136" s="43">
        <f t="shared" si="10"/>
        <v>373329.10950128979</v>
      </c>
      <c r="G136" s="43">
        <f t="shared" si="11"/>
        <v>248497.2417372831</v>
      </c>
    </row>
    <row r="137" spans="2:7" x14ac:dyDescent="0.4">
      <c r="B137" s="42">
        <f t="shared" si="6"/>
        <v>121</v>
      </c>
      <c r="C137" s="43">
        <f t="shared" si="7"/>
        <v>3959.7344352999444</v>
      </c>
      <c r="D137" s="43">
        <f t="shared" si="8"/>
        <v>2404.1964790445704</v>
      </c>
      <c r="E137" s="43">
        <f t="shared" si="9"/>
        <v>1555.5379562553744</v>
      </c>
      <c r="F137" s="43">
        <f t="shared" si="10"/>
        <v>370924.91302224528</v>
      </c>
      <c r="G137" s="43">
        <f t="shared" si="11"/>
        <v>250052.77969353856</v>
      </c>
    </row>
    <row r="138" spans="2:7" x14ac:dyDescent="0.4">
      <c r="B138" s="42">
        <f t="shared" si="6"/>
        <v>122</v>
      </c>
      <c r="C138" s="43">
        <f t="shared" si="7"/>
        <v>3959.7344352999444</v>
      </c>
      <c r="D138" s="43">
        <f t="shared" si="8"/>
        <v>2414.2139643739224</v>
      </c>
      <c r="E138" s="43">
        <f t="shared" si="9"/>
        <v>1545.5204709260217</v>
      </c>
      <c r="F138" s="43">
        <f t="shared" si="10"/>
        <v>368510.69905787136</v>
      </c>
      <c r="G138" s="43">
        <f t="shared" si="11"/>
        <v>251598.30016446457</v>
      </c>
    </row>
    <row r="139" spans="2:7" x14ac:dyDescent="0.4">
      <c r="B139" s="42">
        <f t="shared" si="6"/>
        <v>123</v>
      </c>
      <c r="C139" s="43">
        <f t="shared" si="7"/>
        <v>3959.7344352999444</v>
      </c>
      <c r="D139" s="43">
        <f t="shared" si="8"/>
        <v>2424.2731892254806</v>
      </c>
      <c r="E139" s="43">
        <f t="shared" si="9"/>
        <v>1535.4612460744636</v>
      </c>
      <c r="F139" s="43">
        <f t="shared" si="10"/>
        <v>366086.42586864589</v>
      </c>
      <c r="G139" s="43">
        <f t="shared" si="11"/>
        <v>253133.76141053901</v>
      </c>
    </row>
    <row r="140" spans="2:7" x14ac:dyDescent="0.4">
      <c r="B140" s="42">
        <f t="shared" si="6"/>
        <v>124</v>
      </c>
      <c r="C140" s="43">
        <f t="shared" si="7"/>
        <v>3959.7344352999444</v>
      </c>
      <c r="D140" s="43">
        <f t="shared" si="8"/>
        <v>2434.3743275139204</v>
      </c>
      <c r="E140" s="43">
        <f t="shared" si="9"/>
        <v>1525.3601077860239</v>
      </c>
      <c r="F140" s="43">
        <f t="shared" si="10"/>
        <v>363652.0515411318</v>
      </c>
      <c r="G140" s="43">
        <f t="shared" si="11"/>
        <v>254659.12151832492</v>
      </c>
    </row>
    <row r="141" spans="2:7" x14ac:dyDescent="0.4">
      <c r="B141" s="42">
        <f t="shared" si="6"/>
        <v>125</v>
      </c>
      <c r="C141" s="43">
        <f t="shared" si="7"/>
        <v>3959.7344352999444</v>
      </c>
      <c r="D141" s="43">
        <f t="shared" si="8"/>
        <v>2444.5175538785616</v>
      </c>
      <c r="E141" s="43">
        <f t="shared" si="9"/>
        <v>1515.2168814213831</v>
      </c>
      <c r="F141" s="43">
        <f t="shared" si="10"/>
        <v>361207.53398725332</v>
      </c>
      <c r="G141" s="43">
        <f t="shared" si="11"/>
        <v>256174.33839974643</v>
      </c>
    </row>
    <row r="142" spans="2:7" x14ac:dyDescent="0.4">
      <c r="B142" s="42">
        <f t="shared" si="6"/>
        <v>126</v>
      </c>
      <c r="C142" s="43">
        <f t="shared" si="7"/>
        <v>3959.7344352999444</v>
      </c>
      <c r="D142" s="43">
        <f t="shared" si="8"/>
        <v>2454.7030436863888</v>
      </c>
      <c r="E142" s="43">
        <f t="shared" si="9"/>
        <v>1505.0313916135558</v>
      </c>
      <c r="F142" s="43">
        <f t="shared" si="10"/>
        <v>358752.83094356698</v>
      </c>
      <c r="G142" s="43">
        <f t="shared" si="11"/>
        <v>257679.36979135996</v>
      </c>
    </row>
    <row r="143" spans="2:7" x14ac:dyDescent="0.4">
      <c r="B143" s="42">
        <f t="shared" si="6"/>
        <v>127</v>
      </c>
      <c r="C143" s="43">
        <f t="shared" si="7"/>
        <v>3959.7344352999444</v>
      </c>
      <c r="D143" s="43">
        <f t="shared" si="8"/>
        <v>2464.9309730350819</v>
      </c>
      <c r="E143" s="43">
        <f t="shared" si="9"/>
        <v>1494.8034622648622</v>
      </c>
      <c r="F143" s="43">
        <f t="shared" si="10"/>
        <v>356287.89997053193</v>
      </c>
      <c r="G143" s="43">
        <f t="shared" si="11"/>
        <v>259174.17325362485</v>
      </c>
    </row>
    <row r="144" spans="2:7" x14ac:dyDescent="0.4">
      <c r="B144" s="42">
        <f t="shared" si="6"/>
        <v>128</v>
      </c>
      <c r="C144" s="43">
        <f t="shared" si="7"/>
        <v>3959.7344352999444</v>
      </c>
      <c r="D144" s="43">
        <f t="shared" si="8"/>
        <v>2475.2015187560619</v>
      </c>
      <c r="E144" s="43">
        <f t="shared" si="9"/>
        <v>1484.5329165438827</v>
      </c>
      <c r="F144" s="43">
        <f t="shared" si="10"/>
        <v>353812.69845177577</v>
      </c>
      <c r="G144" s="43">
        <f t="shared" si="11"/>
        <v>260658.70617016865</v>
      </c>
    </row>
    <row r="145" spans="2:7" x14ac:dyDescent="0.4">
      <c r="B145" s="42">
        <f t="shared" si="6"/>
        <v>129</v>
      </c>
      <c r="C145" s="43">
        <f t="shared" si="7"/>
        <v>3959.7344352999444</v>
      </c>
      <c r="D145" s="43">
        <f t="shared" si="8"/>
        <v>2485.5148584175454</v>
      </c>
      <c r="E145" s="43">
        <f t="shared" si="9"/>
        <v>1474.2195768823992</v>
      </c>
      <c r="F145" s="43">
        <f t="shared" si="10"/>
        <v>351327.18359335826</v>
      </c>
      <c r="G145" s="43">
        <f t="shared" si="11"/>
        <v>262132.92574705111</v>
      </c>
    </row>
    <row r="146" spans="2:7" x14ac:dyDescent="0.4">
      <c r="B146" s="42">
        <f t="shared" si="6"/>
        <v>130</v>
      </c>
      <c r="C146" s="43">
        <f t="shared" si="7"/>
        <v>3959.7344352999444</v>
      </c>
      <c r="D146" s="43">
        <f t="shared" si="8"/>
        <v>2495.8711703276185</v>
      </c>
      <c r="E146" s="43">
        <f t="shared" si="9"/>
        <v>1463.8632649723261</v>
      </c>
      <c r="F146" s="43">
        <f t="shared" si="10"/>
        <v>348831.31242303067</v>
      </c>
      <c r="G146" s="43">
        <f t="shared" si="11"/>
        <v>263596.78901202342</v>
      </c>
    </row>
    <row r="147" spans="2:7" x14ac:dyDescent="0.4">
      <c r="B147" s="42">
        <f t="shared" ref="B147:B210" si="12">B146+1</f>
        <v>131</v>
      </c>
      <c r="C147" s="43">
        <f t="shared" ref="C147:C210" si="13">$C$14</f>
        <v>3959.7344352999444</v>
      </c>
      <c r="D147" s="43">
        <f t="shared" ref="D147:D210" si="14">-PPMT($C$11/$C$13,B147,$C$12*$C$13,$C$10)</f>
        <v>2506.2706335373168</v>
      </c>
      <c r="E147" s="43">
        <f t="shared" ref="E147:E210" si="15">-IPMT($C$11/$C$13,B147,$C$12*$C$13,$C$10)</f>
        <v>1453.4638017626278</v>
      </c>
      <c r="F147" s="43">
        <f t="shared" ref="F147:F210" si="16">$C$10+CUMPRINC($C$11/$C$13,$C$12*$C$13,$C$10,1,B147,0)</f>
        <v>346325.04178949329</v>
      </c>
      <c r="G147" s="43">
        <f t="shared" ref="G147:G210" si="17">CUMIPMT($C$11/$C$13,$C$12*$C$13,$C$10,1,B147,0)*-1</f>
        <v>265050.25281378604</v>
      </c>
    </row>
    <row r="148" spans="2:7" x14ac:dyDescent="0.4">
      <c r="B148" s="42">
        <f t="shared" si="12"/>
        <v>132</v>
      </c>
      <c r="C148" s="43">
        <f t="shared" si="13"/>
        <v>3959.7344352999444</v>
      </c>
      <c r="D148" s="43">
        <f t="shared" si="14"/>
        <v>2516.7134278437225</v>
      </c>
      <c r="E148" s="43">
        <f t="shared" si="15"/>
        <v>1443.0210074562224</v>
      </c>
      <c r="F148" s="43">
        <f t="shared" si="16"/>
        <v>343808.32836164965</v>
      </c>
      <c r="G148" s="43">
        <f t="shared" si="17"/>
        <v>266493.27382124233</v>
      </c>
    </row>
    <row r="149" spans="2:7" x14ac:dyDescent="0.4">
      <c r="B149" s="42">
        <f t="shared" si="12"/>
        <v>133</v>
      </c>
      <c r="C149" s="43">
        <f t="shared" si="13"/>
        <v>3959.7344352999444</v>
      </c>
      <c r="D149" s="43">
        <f t="shared" si="14"/>
        <v>2527.1997337930716</v>
      </c>
      <c r="E149" s="43">
        <f t="shared" si="15"/>
        <v>1432.5347015068733</v>
      </c>
      <c r="F149" s="43">
        <f t="shared" si="16"/>
        <v>341281.12862785661</v>
      </c>
      <c r="G149" s="43">
        <f t="shared" si="17"/>
        <v>267925.80852274923</v>
      </c>
    </row>
    <row r="150" spans="2:7" x14ac:dyDescent="0.4">
      <c r="B150" s="42">
        <f t="shared" si="12"/>
        <v>134</v>
      </c>
      <c r="C150" s="43">
        <f t="shared" si="13"/>
        <v>3959.7344352999444</v>
      </c>
      <c r="D150" s="43">
        <f t="shared" si="14"/>
        <v>2537.7297326838757</v>
      </c>
      <c r="E150" s="43">
        <f t="shared" si="15"/>
        <v>1422.0047026160689</v>
      </c>
      <c r="F150" s="43">
        <f t="shared" si="16"/>
        <v>338743.39889517275</v>
      </c>
      <c r="G150" s="43">
        <f t="shared" si="17"/>
        <v>269347.81322536524</v>
      </c>
    </row>
    <row r="151" spans="2:7" x14ac:dyDescent="0.4">
      <c r="B151" s="42">
        <f t="shared" si="12"/>
        <v>135</v>
      </c>
      <c r="C151" s="43">
        <f t="shared" si="13"/>
        <v>3959.7344352999444</v>
      </c>
      <c r="D151" s="43">
        <f t="shared" si="14"/>
        <v>2548.3036065700585</v>
      </c>
      <c r="E151" s="43">
        <f t="shared" si="15"/>
        <v>1411.4308287298861</v>
      </c>
      <c r="F151" s="43">
        <f t="shared" si="16"/>
        <v>336195.09528860264</v>
      </c>
      <c r="G151" s="43">
        <f t="shared" si="17"/>
        <v>270759.24405409512</v>
      </c>
    </row>
    <row r="152" spans="2:7" x14ac:dyDescent="0.4">
      <c r="B152" s="42">
        <f t="shared" si="12"/>
        <v>136</v>
      </c>
      <c r="C152" s="43">
        <f t="shared" si="13"/>
        <v>3959.7344352999444</v>
      </c>
      <c r="D152" s="43">
        <f t="shared" si="14"/>
        <v>2558.9215382641</v>
      </c>
      <c r="E152" s="43">
        <f t="shared" si="15"/>
        <v>1400.8128970358441</v>
      </c>
      <c r="F152" s="43">
        <f t="shared" si="16"/>
        <v>333636.17375033844</v>
      </c>
      <c r="G152" s="43">
        <f t="shared" si="17"/>
        <v>272160.05695113091</v>
      </c>
    </row>
    <row r="153" spans="2:7" x14ac:dyDescent="0.4">
      <c r="B153" s="42">
        <f t="shared" si="12"/>
        <v>137</v>
      </c>
      <c r="C153" s="43">
        <f t="shared" si="13"/>
        <v>3959.7344352999444</v>
      </c>
      <c r="D153" s="43">
        <f t="shared" si="14"/>
        <v>2569.5837113402008</v>
      </c>
      <c r="E153" s="43">
        <f t="shared" si="15"/>
        <v>1390.1507239597438</v>
      </c>
      <c r="F153" s="43">
        <f t="shared" si="16"/>
        <v>331066.59003899834</v>
      </c>
      <c r="G153" s="43">
        <f t="shared" si="17"/>
        <v>273550.2076750907</v>
      </c>
    </row>
    <row r="154" spans="2:7" x14ac:dyDescent="0.4">
      <c r="B154" s="42">
        <f t="shared" si="12"/>
        <v>138</v>
      </c>
      <c r="C154" s="43">
        <f t="shared" si="13"/>
        <v>3959.7344352999444</v>
      </c>
      <c r="D154" s="43">
        <f t="shared" si="14"/>
        <v>2580.2903101374518</v>
      </c>
      <c r="E154" s="43">
        <f t="shared" si="15"/>
        <v>1379.444125162493</v>
      </c>
      <c r="F154" s="43">
        <f t="shared" si="16"/>
        <v>328486.29972886085</v>
      </c>
      <c r="G154" s="43">
        <f t="shared" si="17"/>
        <v>274929.6518002532</v>
      </c>
    </row>
    <row r="155" spans="2:7" x14ac:dyDescent="0.4">
      <c r="B155" s="42">
        <f t="shared" si="12"/>
        <v>139</v>
      </c>
      <c r="C155" s="43">
        <f t="shared" si="13"/>
        <v>3959.7344352999444</v>
      </c>
      <c r="D155" s="43">
        <f t="shared" si="14"/>
        <v>2591.0415197630241</v>
      </c>
      <c r="E155" s="43">
        <f t="shared" si="15"/>
        <v>1368.6929155369203</v>
      </c>
      <c r="F155" s="43">
        <f t="shared" si="16"/>
        <v>325895.2582090979</v>
      </c>
      <c r="G155" s="43">
        <f t="shared" si="17"/>
        <v>276298.34471579012</v>
      </c>
    </row>
    <row r="156" spans="2:7" x14ac:dyDescent="0.4">
      <c r="B156" s="42">
        <f t="shared" si="12"/>
        <v>140</v>
      </c>
      <c r="C156" s="43">
        <f t="shared" si="13"/>
        <v>3959.7344352999444</v>
      </c>
      <c r="D156" s="43">
        <f t="shared" si="14"/>
        <v>2601.8375260953699</v>
      </c>
      <c r="E156" s="43">
        <f t="shared" si="15"/>
        <v>1357.8969092045741</v>
      </c>
      <c r="F156" s="43">
        <f t="shared" si="16"/>
        <v>323293.42068300251</v>
      </c>
      <c r="G156" s="43">
        <f t="shared" si="17"/>
        <v>277656.24162499473</v>
      </c>
    </row>
    <row r="157" spans="2:7" x14ac:dyDescent="0.4">
      <c r="B157" s="42">
        <f t="shared" si="12"/>
        <v>141</v>
      </c>
      <c r="C157" s="43">
        <f t="shared" si="13"/>
        <v>3959.7344352999444</v>
      </c>
      <c r="D157" s="43">
        <f t="shared" si="14"/>
        <v>2612.6785157874342</v>
      </c>
      <c r="E157" s="43">
        <f t="shared" si="15"/>
        <v>1347.0559195125102</v>
      </c>
      <c r="F157" s="43">
        <f t="shared" si="16"/>
        <v>320680.74216721504</v>
      </c>
      <c r="G157" s="43">
        <f t="shared" si="17"/>
        <v>279003.29754450725</v>
      </c>
    </row>
    <row r="158" spans="2:7" x14ac:dyDescent="0.4">
      <c r="B158" s="42">
        <f t="shared" si="12"/>
        <v>142</v>
      </c>
      <c r="C158" s="43">
        <f t="shared" si="13"/>
        <v>3959.7344352999444</v>
      </c>
      <c r="D158" s="43">
        <f t="shared" si="14"/>
        <v>2623.5646762698821</v>
      </c>
      <c r="E158" s="43">
        <f t="shared" si="15"/>
        <v>1336.1697590300623</v>
      </c>
      <c r="F158" s="43">
        <f t="shared" si="16"/>
        <v>318057.17749094515</v>
      </c>
      <c r="G158" s="43">
        <f t="shared" si="17"/>
        <v>280339.46730353724</v>
      </c>
    </row>
    <row r="159" spans="2:7" x14ac:dyDescent="0.4">
      <c r="B159" s="42">
        <f t="shared" si="12"/>
        <v>143</v>
      </c>
      <c r="C159" s="43">
        <f t="shared" si="13"/>
        <v>3959.7344352999444</v>
      </c>
      <c r="D159" s="43">
        <f t="shared" si="14"/>
        <v>2634.4961957543396</v>
      </c>
      <c r="E159" s="43">
        <f t="shared" si="15"/>
        <v>1325.2382395456045</v>
      </c>
      <c r="F159" s="43">
        <f t="shared" si="16"/>
        <v>315422.68129519076</v>
      </c>
      <c r="G159" s="43">
        <f t="shared" si="17"/>
        <v>281664.70554308285</v>
      </c>
    </row>
    <row r="160" spans="2:7" x14ac:dyDescent="0.4">
      <c r="B160" s="42">
        <f t="shared" si="12"/>
        <v>144</v>
      </c>
      <c r="C160" s="43">
        <f t="shared" si="13"/>
        <v>3959.7344352999444</v>
      </c>
      <c r="D160" s="43">
        <f t="shared" si="14"/>
        <v>2645.4732632366499</v>
      </c>
      <c r="E160" s="43">
        <f t="shared" si="15"/>
        <v>1314.2611720632951</v>
      </c>
      <c r="F160" s="43">
        <f t="shared" si="16"/>
        <v>312777.20803195419</v>
      </c>
      <c r="G160" s="43">
        <f t="shared" si="17"/>
        <v>282978.96671514615</v>
      </c>
    </row>
    <row r="161" spans="2:7" x14ac:dyDescent="0.4">
      <c r="B161" s="42">
        <f t="shared" si="12"/>
        <v>145</v>
      </c>
      <c r="C161" s="43">
        <f t="shared" si="13"/>
        <v>3959.7344352999444</v>
      </c>
      <c r="D161" s="43">
        <f t="shared" si="14"/>
        <v>2656.4960685001356</v>
      </c>
      <c r="E161" s="43">
        <f t="shared" si="15"/>
        <v>1303.238366799809</v>
      </c>
      <c r="F161" s="43">
        <f t="shared" si="16"/>
        <v>310120.71196345403</v>
      </c>
      <c r="G161" s="43">
        <f t="shared" si="17"/>
        <v>284282.20508194598</v>
      </c>
    </row>
    <row r="162" spans="2:7" x14ac:dyDescent="0.4">
      <c r="B162" s="42">
        <f t="shared" si="12"/>
        <v>146</v>
      </c>
      <c r="C162" s="43">
        <f t="shared" si="13"/>
        <v>3959.7344352999444</v>
      </c>
      <c r="D162" s="43">
        <f t="shared" si="14"/>
        <v>2667.5648021188858</v>
      </c>
      <c r="E162" s="43">
        <f t="shared" si="15"/>
        <v>1292.1696331810585</v>
      </c>
      <c r="F162" s="43">
        <f t="shared" si="16"/>
        <v>307453.1471613351</v>
      </c>
      <c r="G162" s="43">
        <f t="shared" si="17"/>
        <v>285574.37471512693</v>
      </c>
    </row>
    <row r="163" spans="2:7" x14ac:dyDescent="0.4">
      <c r="B163" s="42">
        <f t="shared" si="12"/>
        <v>147</v>
      </c>
      <c r="C163" s="43">
        <f t="shared" si="13"/>
        <v>3959.7344352999444</v>
      </c>
      <c r="D163" s="43">
        <f t="shared" si="14"/>
        <v>2678.6796554610482</v>
      </c>
      <c r="E163" s="43">
        <f t="shared" si="15"/>
        <v>1281.0547798388966</v>
      </c>
      <c r="F163" s="43">
        <f t="shared" si="16"/>
        <v>304774.46750587405</v>
      </c>
      <c r="G163" s="43">
        <f t="shared" si="17"/>
        <v>286855.42949496588</v>
      </c>
    </row>
    <row r="164" spans="2:7" x14ac:dyDescent="0.4">
      <c r="B164" s="42">
        <f t="shared" si="12"/>
        <v>148</v>
      </c>
      <c r="C164" s="43">
        <f t="shared" si="13"/>
        <v>3959.7344352999444</v>
      </c>
      <c r="D164" s="43">
        <f t="shared" si="14"/>
        <v>2689.8408206921358</v>
      </c>
      <c r="E164" s="43">
        <f t="shared" si="15"/>
        <v>1269.8936146078088</v>
      </c>
      <c r="F164" s="43">
        <f t="shared" si="16"/>
        <v>302084.62668518204</v>
      </c>
      <c r="G164" s="43">
        <f t="shared" si="17"/>
        <v>288125.32310957386</v>
      </c>
    </row>
    <row r="165" spans="2:7" x14ac:dyDescent="0.4">
      <c r="B165" s="42">
        <f t="shared" si="12"/>
        <v>149</v>
      </c>
      <c r="C165" s="43">
        <f t="shared" si="13"/>
        <v>3959.7344352999444</v>
      </c>
      <c r="D165" s="43">
        <f t="shared" si="14"/>
        <v>2701.048490778353</v>
      </c>
      <c r="E165" s="43">
        <f t="shared" si="15"/>
        <v>1258.6859445215914</v>
      </c>
      <c r="F165" s="43">
        <f t="shared" si="16"/>
        <v>299383.57819440367</v>
      </c>
      <c r="G165" s="43">
        <f t="shared" si="17"/>
        <v>289384.00905409537</v>
      </c>
    </row>
    <row r="166" spans="2:7" x14ac:dyDescent="0.4">
      <c r="B166" s="42">
        <f t="shared" si="12"/>
        <v>150</v>
      </c>
      <c r="C166" s="43">
        <f t="shared" si="13"/>
        <v>3959.7344352999444</v>
      </c>
      <c r="D166" s="43">
        <f t="shared" si="14"/>
        <v>2712.3028594899297</v>
      </c>
      <c r="E166" s="43">
        <f t="shared" si="15"/>
        <v>1247.4315758100151</v>
      </c>
      <c r="F166" s="43">
        <f t="shared" si="16"/>
        <v>296671.27533491369</v>
      </c>
      <c r="G166" s="43">
        <f t="shared" si="17"/>
        <v>290631.44062990538</v>
      </c>
    </row>
    <row r="167" spans="2:7" x14ac:dyDescent="0.4">
      <c r="B167" s="42">
        <f t="shared" si="12"/>
        <v>151</v>
      </c>
      <c r="C167" s="43">
        <f t="shared" si="13"/>
        <v>3959.7344352999444</v>
      </c>
      <c r="D167" s="43">
        <f t="shared" si="14"/>
        <v>2723.6041214044703</v>
      </c>
      <c r="E167" s="43">
        <f t="shared" si="15"/>
        <v>1236.1303138954734</v>
      </c>
      <c r="F167" s="43">
        <f t="shared" si="16"/>
        <v>293947.67121350922</v>
      </c>
      <c r="G167" s="43">
        <f t="shared" si="17"/>
        <v>291867.57094380079</v>
      </c>
    </row>
    <row r="168" spans="2:7" x14ac:dyDescent="0.4">
      <c r="B168" s="42">
        <f t="shared" si="12"/>
        <v>152</v>
      </c>
      <c r="C168" s="43">
        <f t="shared" si="13"/>
        <v>3959.7344352999444</v>
      </c>
      <c r="D168" s="43">
        <f t="shared" si="14"/>
        <v>2734.9524719103229</v>
      </c>
      <c r="E168" s="43">
        <f t="shared" si="15"/>
        <v>1224.7819633896218</v>
      </c>
      <c r="F168" s="43">
        <f t="shared" si="16"/>
        <v>291212.71874159889</v>
      </c>
      <c r="G168" s="43">
        <f t="shared" si="17"/>
        <v>293092.35290719045</v>
      </c>
    </row>
    <row r="169" spans="2:7" x14ac:dyDescent="0.4">
      <c r="B169" s="42">
        <f t="shared" si="12"/>
        <v>153</v>
      </c>
      <c r="C169" s="43">
        <f t="shared" si="13"/>
        <v>3959.7344352999444</v>
      </c>
      <c r="D169" s="43">
        <f t="shared" si="14"/>
        <v>2746.3481072099489</v>
      </c>
      <c r="E169" s="43">
        <f t="shared" si="15"/>
        <v>1213.386328089995</v>
      </c>
      <c r="F169" s="43">
        <f t="shared" si="16"/>
        <v>288466.37063438894</v>
      </c>
      <c r="G169" s="43">
        <f t="shared" si="17"/>
        <v>294305.73923528037</v>
      </c>
    </row>
    <row r="170" spans="2:7" x14ac:dyDescent="0.4">
      <c r="B170" s="42">
        <f t="shared" si="12"/>
        <v>154</v>
      </c>
      <c r="C170" s="43">
        <f t="shared" si="13"/>
        <v>3959.7344352999444</v>
      </c>
      <c r="D170" s="43">
        <f t="shared" si="14"/>
        <v>2757.7912243233236</v>
      </c>
      <c r="E170" s="43">
        <f t="shared" si="15"/>
        <v>1201.9432109766205</v>
      </c>
      <c r="F170" s="43">
        <f t="shared" si="16"/>
        <v>285708.57941006561</v>
      </c>
      <c r="G170" s="43">
        <f t="shared" si="17"/>
        <v>295507.68244625704</v>
      </c>
    </row>
    <row r="171" spans="2:7" x14ac:dyDescent="0.4">
      <c r="B171" s="42">
        <f t="shared" si="12"/>
        <v>155</v>
      </c>
      <c r="C171" s="43">
        <f t="shared" si="13"/>
        <v>3959.7344352999444</v>
      </c>
      <c r="D171" s="43">
        <f t="shared" si="14"/>
        <v>2769.2820210913378</v>
      </c>
      <c r="E171" s="43">
        <f t="shared" si="15"/>
        <v>1190.4524142086063</v>
      </c>
      <c r="F171" s="43">
        <f t="shared" si="16"/>
        <v>282939.29738897429</v>
      </c>
      <c r="G171" s="43">
        <f t="shared" si="17"/>
        <v>296698.13486046571</v>
      </c>
    </row>
    <row r="172" spans="2:7" x14ac:dyDescent="0.4">
      <c r="B172" s="42">
        <f t="shared" si="12"/>
        <v>156</v>
      </c>
      <c r="C172" s="43">
        <f t="shared" si="13"/>
        <v>3959.7344352999444</v>
      </c>
      <c r="D172" s="43">
        <f t="shared" si="14"/>
        <v>2780.8206961792184</v>
      </c>
      <c r="E172" s="43">
        <f t="shared" si="15"/>
        <v>1178.9137391207262</v>
      </c>
      <c r="F172" s="43">
        <f t="shared" si="16"/>
        <v>280158.47669279505</v>
      </c>
      <c r="G172" s="43">
        <f t="shared" si="17"/>
        <v>297877.04859958636</v>
      </c>
    </row>
    <row r="173" spans="2:7" x14ac:dyDescent="0.4">
      <c r="B173" s="42">
        <f t="shared" si="12"/>
        <v>157</v>
      </c>
      <c r="C173" s="43">
        <f t="shared" si="13"/>
        <v>3959.7344352999444</v>
      </c>
      <c r="D173" s="43">
        <f t="shared" si="14"/>
        <v>2792.4074490799649</v>
      </c>
      <c r="E173" s="43">
        <f t="shared" si="15"/>
        <v>1167.3269862199793</v>
      </c>
      <c r="F173" s="43">
        <f t="shared" si="16"/>
        <v>277366.06924371514</v>
      </c>
      <c r="G173" s="43">
        <f t="shared" si="17"/>
        <v>299044.37558580644</v>
      </c>
    </row>
    <row r="174" spans="2:7" x14ac:dyDescent="0.4">
      <c r="B174" s="42">
        <f t="shared" si="12"/>
        <v>158</v>
      </c>
      <c r="C174" s="43">
        <f t="shared" si="13"/>
        <v>3959.7344352999444</v>
      </c>
      <c r="D174" s="43">
        <f t="shared" si="14"/>
        <v>2804.0424801177987</v>
      </c>
      <c r="E174" s="43">
        <f t="shared" si="15"/>
        <v>1155.6919551821461</v>
      </c>
      <c r="F174" s="43">
        <f t="shared" si="16"/>
        <v>274562.02676359733</v>
      </c>
      <c r="G174" s="43">
        <f t="shared" si="17"/>
        <v>300200.0675409885</v>
      </c>
    </row>
    <row r="175" spans="2:7" x14ac:dyDescent="0.4">
      <c r="B175" s="42">
        <f t="shared" si="12"/>
        <v>159</v>
      </c>
      <c r="C175" s="43">
        <f t="shared" si="13"/>
        <v>3959.7344352999444</v>
      </c>
      <c r="D175" s="43">
        <f t="shared" si="14"/>
        <v>2815.7259904516227</v>
      </c>
      <c r="E175" s="43">
        <f t="shared" si="15"/>
        <v>1144.0084448483219</v>
      </c>
      <c r="F175" s="43">
        <f t="shared" si="16"/>
        <v>271746.30077314575</v>
      </c>
      <c r="G175" s="43">
        <f t="shared" si="17"/>
        <v>301344.07598583691</v>
      </c>
    </row>
    <row r="176" spans="2:7" x14ac:dyDescent="0.4">
      <c r="B176" s="42">
        <f t="shared" si="12"/>
        <v>160</v>
      </c>
      <c r="C176" s="43">
        <f t="shared" si="13"/>
        <v>3959.7344352999444</v>
      </c>
      <c r="D176" s="43">
        <f t="shared" si="14"/>
        <v>2827.4581820785043</v>
      </c>
      <c r="E176" s="43">
        <f t="shared" si="15"/>
        <v>1132.2762532214404</v>
      </c>
      <c r="F176" s="43">
        <f t="shared" si="16"/>
        <v>268918.84259106719</v>
      </c>
      <c r="G176" s="43">
        <f t="shared" si="17"/>
        <v>302476.35223905824</v>
      </c>
    </row>
    <row r="177" spans="2:7" x14ac:dyDescent="0.4">
      <c r="B177" s="42">
        <f t="shared" si="12"/>
        <v>161</v>
      </c>
      <c r="C177" s="43">
        <f t="shared" si="13"/>
        <v>3959.7344352999444</v>
      </c>
      <c r="D177" s="43">
        <f t="shared" si="14"/>
        <v>2839.239257837165</v>
      </c>
      <c r="E177" s="43">
        <f t="shared" si="15"/>
        <v>1120.4951774627798</v>
      </c>
      <c r="F177" s="43">
        <f t="shared" si="16"/>
        <v>266079.60333323001</v>
      </c>
      <c r="G177" s="43">
        <f t="shared" si="17"/>
        <v>303596.84741652105</v>
      </c>
    </row>
    <row r="178" spans="2:7" x14ac:dyDescent="0.4">
      <c r="B178" s="42">
        <f t="shared" si="12"/>
        <v>162</v>
      </c>
      <c r="C178" s="43">
        <f t="shared" si="13"/>
        <v>3959.7344352999444</v>
      </c>
      <c r="D178" s="43">
        <f t="shared" si="14"/>
        <v>2851.069421411486</v>
      </c>
      <c r="E178" s="43">
        <f t="shared" si="15"/>
        <v>1108.6650138884584</v>
      </c>
      <c r="F178" s="43">
        <f t="shared" si="16"/>
        <v>263228.53391181846</v>
      </c>
      <c r="G178" s="43">
        <f t="shared" si="17"/>
        <v>304705.51243040949</v>
      </c>
    </row>
    <row r="179" spans="2:7" x14ac:dyDescent="0.4">
      <c r="B179" s="42">
        <f t="shared" si="12"/>
        <v>163</v>
      </c>
      <c r="C179" s="43">
        <f t="shared" si="13"/>
        <v>3959.7344352999444</v>
      </c>
      <c r="D179" s="43">
        <f t="shared" si="14"/>
        <v>2862.948877334034</v>
      </c>
      <c r="E179" s="43">
        <f t="shared" si="15"/>
        <v>1096.7855579659106</v>
      </c>
      <c r="F179" s="43">
        <f t="shared" si="16"/>
        <v>260365.58503448445</v>
      </c>
      <c r="G179" s="43">
        <f t="shared" si="17"/>
        <v>305802.29798837536</v>
      </c>
    </row>
    <row r="180" spans="2:7" x14ac:dyDescent="0.4">
      <c r="B180" s="42">
        <f t="shared" si="12"/>
        <v>164</v>
      </c>
      <c r="C180" s="43">
        <f t="shared" si="13"/>
        <v>3959.7344352999444</v>
      </c>
      <c r="D180" s="43">
        <f t="shared" si="14"/>
        <v>2874.8778309895924</v>
      </c>
      <c r="E180" s="43">
        <f t="shared" si="15"/>
        <v>1084.8566043103522</v>
      </c>
      <c r="F180" s="43">
        <f t="shared" si="16"/>
        <v>257490.70720349485</v>
      </c>
      <c r="G180" s="43">
        <f t="shared" si="17"/>
        <v>306887.15459268575</v>
      </c>
    </row>
    <row r="181" spans="2:7" x14ac:dyDescent="0.4">
      <c r="B181" s="42">
        <f t="shared" si="12"/>
        <v>165</v>
      </c>
      <c r="C181" s="43">
        <f t="shared" si="13"/>
        <v>3959.7344352999444</v>
      </c>
      <c r="D181" s="43">
        <f t="shared" si="14"/>
        <v>2886.856488618716</v>
      </c>
      <c r="E181" s="43">
        <f t="shared" si="15"/>
        <v>1072.8779466812289</v>
      </c>
      <c r="F181" s="43">
        <f t="shared" si="16"/>
        <v>254603.85071487626</v>
      </c>
      <c r="G181" s="43">
        <f t="shared" si="17"/>
        <v>307960.03253936704</v>
      </c>
    </row>
    <row r="182" spans="2:7" x14ac:dyDescent="0.4">
      <c r="B182" s="42">
        <f t="shared" si="12"/>
        <v>166</v>
      </c>
      <c r="C182" s="43">
        <f t="shared" si="13"/>
        <v>3959.7344352999444</v>
      </c>
      <c r="D182" s="43">
        <f t="shared" si="14"/>
        <v>2898.8850573212935</v>
      </c>
      <c r="E182" s="43">
        <f t="shared" si="15"/>
        <v>1060.8493779786506</v>
      </c>
      <c r="F182" s="43">
        <f t="shared" si="16"/>
        <v>251704.96565755492</v>
      </c>
      <c r="G182" s="43">
        <f t="shared" si="17"/>
        <v>309020.88191734569</v>
      </c>
    </row>
    <row r="183" spans="2:7" x14ac:dyDescent="0.4">
      <c r="B183" s="42">
        <f t="shared" si="12"/>
        <v>167</v>
      </c>
      <c r="C183" s="43">
        <f t="shared" si="13"/>
        <v>3959.7344352999444</v>
      </c>
      <c r="D183" s="43">
        <f t="shared" si="14"/>
        <v>2910.9637450601326</v>
      </c>
      <c r="E183" s="43">
        <f t="shared" si="15"/>
        <v>1048.7706902398122</v>
      </c>
      <c r="F183" s="43">
        <f t="shared" si="16"/>
        <v>248794.00191249471</v>
      </c>
      <c r="G183" s="43">
        <f t="shared" si="17"/>
        <v>310069.65260758548</v>
      </c>
    </row>
    <row r="184" spans="2:7" x14ac:dyDescent="0.4">
      <c r="B184" s="42">
        <f t="shared" si="12"/>
        <v>168</v>
      </c>
      <c r="C184" s="43">
        <f t="shared" si="13"/>
        <v>3959.7344352999444</v>
      </c>
      <c r="D184" s="43">
        <f t="shared" si="14"/>
        <v>2923.09276066455</v>
      </c>
      <c r="E184" s="43">
        <f t="shared" si="15"/>
        <v>1036.6416746353948</v>
      </c>
      <c r="F184" s="43">
        <f t="shared" si="16"/>
        <v>245870.90915183024</v>
      </c>
      <c r="G184" s="43">
        <f t="shared" si="17"/>
        <v>311106.29428222089</v>
      </c>
    </row>
    <row r="185" spans="2:7" x14ac:dyDescent="0.4">
      <c r="B185" s="42">
        <f t="shared" si="12"/>
        <v>169</v>
      </c>
      <c r="C185" s="43">
        <f t="shared" si="13"/>
        <v>3959.7344352999444</v>
      </c>
      <c r="D185" s="43">
        <f t="shared" si="14"/>
        <v>2935.2723138339857</v>
      </c>
      <c r="E185" s="43">
        <f t="shared" si="15"/>
        <v>1024.4621214659592</v>
      </c>
      <c r="F185" s="43">
        <f t="shared" si="16"/>
        <v>242935.63683799625</v>
      </c>
      <c r="G185" s="43">
        <f t="shared" si="17"/>
        <v>312130.75640368689</v>
      </c>
    </row>
    <row r="186" spans="2:7" x14ac:dyDescent="0.4">
      <c r="B186" s="42">
        <f t="shared" si="12"/>
        <v>170</v>
      </c>
      <c r="C186" s="43">
        <f t="shared" si="13"/>
        <v>3959.7344352999444</v>
      </c>
      <c r="D186" s="43">
        <f t="shared" si="14"/>
        <v>2947.5026151416268</v>
      </c>
      <c r="E186" s="43">
        <f t="shared" si="15"/>
        <v>1012.2318201583175</v>
      </c>
      <c r="F186" s="43">
        <f t="shared" si="16"/>
        <v>239988.13422285463</v>
      </c>
      <c r="G186" s="43">
        <f t="shared" si="17"/>
        <v>313142.98822384514</v>
      </c>
    </row>
    <row r="187" spans="2:7" x14ac:dyDescent="0.4">
      <c r="B187" s="42">
        <f t="shared" si="12"/>
        <v>171</v>
      </c>
      <c r="C187" s="43">
        <f t="shared" si="13"/>
        <v>3959.7344352999444</v>
      </c>
      <c r="D187" s="43">
        <f t="shared" si="14"/>
        <v>2959.7838760380505</v>
      </c>
      <c r="E187" s="43">
        <f t="shared" si="15"/>
        <v>999.95055926189423</v>
      </c>
      <c r="F187" s="43">
        <f t="shared" si="16"/>
        <v>237028.35034681647</v>
      </c>
      <c r="G187" s="43">
        <f t="shared" si="17"/>
        <v>314142.93878310698</v>
      </c>
    </row>
    <row r="188" spans="2:7" x14ac:dyDescent="0.4">
      <c r="B188" s="42">
        <f t="shared" si="12"/>
        <v>172</v>
      </c>
      <c r="C188" s="43">
        <f t="shared" si="13"/>
        <v>3959.7344352999444</v>
      </c>
      <c r="D188" s="43">
        <f t="shared" si="14"/>
        <v>2972.1163088548756</v>
      </c>
      <c r="E188" s="43">
        <f t="shared" si="15"/>
        <v>987.61812644506881</v>
      </c>
      <c r="F188" s="43">
        <f t="shared" si="16"/>
        <v>234056.23403796164</v>
      </c>
      <c r="G188" s="43">
        <f t="shared" si="17"/>
        <v>315130.55690955202</v>
      </c>
    </row>
    <row r="189" spans="2:7" x14ac:dyDescent="0.4">
      <c r="B189" s="42">
        <f t="shared" si="12"/>
        <v>173</v>
      </c>
      <c r="C189" s="43">
        <f t="shared" si="13"/>
        <v>3959.7344352999444</v>
      </c>
      <c r="D189" s="43">
        <f t="shared" si="14"/>
        <v>2984.5001268084375</v>
      </c>
      <c r="E189" s="43">
        <f t="shared" si="15"/>
        <v>975.23430849150679</v>
      </c>
      <c r="F189" s="43">
        <f t="shared" si="16"/>
        <v>231071.73391115316</v>
      </c>
      <c r="G189" s="43">
        <f t="shared" si="17"/>
        <v>316105.79121804354</v>
      </c>
    </row>
    <row r="190" spans="2:7" x14ac:dyDescent="0.4">
      <c r="B190" s="42">
        <f t="shared" si="12"/>
        <v>174</v>
      </c>
      <c r="C190" s="43">
        <f t="shared" si="13"/>
        <v>3959.7344352999444</v>
      </c>
      <c r="D190" s="43">
        <f t="shared" si="14"/>
        <v>2996.9355440034728</v>
      </c>
      <c r="E190" s="43">
        <f t="shared" si="15"/>
        <v>962.79889129647165</v>
      </c>
      <c r="F190" s="43">
        <f t="shared" si="16"/>
        <v>228074.79836714978</v>
      </c>
      <c r="G190" s="43">
        <f t="shared" si="17"/>
        <v>317068.59010934015</v>
      </c>
    </row>
    <row r="191" spans="2:7" x14ac:dyDescent="0.4">
      <c r="B191" s="42">
        <f t="shared" si="12"/>
        <v>175</v>
      </c>
      <c r="C191" s="43">
        <f t="shared" si="13"/>
        <v>3959.7344352999444</v>
      </c>
      <c r="D191" s="43">
        <f t="shared" si="14"/>
        <v>3009.4227754368203</v>
      </c>
      <c r="E191" s="43">
        <f t="shared" si="15"/>
        <v>950.31165986312374</v>
      </c>
      <c r="F191" s="43">
        <f t="shared" si="16"/>
        <v>225065.37559171295</v>
      </c>
      <c r="G191" s="43">
        <f t="shared" si="17"/>
        <v>318018.90176920319</v>
      </c>
    </row>
    <row r="192" spans="2:7" x14ac:dyDescent="0.4">
      <c r="B192" s="42">
        <f t="shared" si="12"/>
        <v>176</v>
      </c>
      <c r="C192" s="43">
        <f t="shared" si="13"/>
        <v>3959.7344352999444</v>
      </c>
      <c r="D192" s="43">
        <f t="shared" si="14"/>
        <v>3021.9620370011407</v>
      </c>
      <c r="E192" s="43">
        <f t="shared" si="15"/>
        <v>937.77239829880364</v>
      </c>
      <c r="F192" s="43">
        <f t="shared" si="16"/>
        <v>222043.41355471185</v>
      </c>
      <c r="G192" s="43">
        <f t="shared" si="17"/>
        <v>318956.67416750209</v>
      </c>
    </row>
    <row r="193" spans="2:7" x14ac:dyDescent="0.4">
      <c r="B193" s="42">
        <f t="shared" si="12"/>
        <v>177</v>
      </c>
      <c r="C193" s="43">
        <f t="shared" si="13"/>
        <v>3959.7344352999444</v>
      </c>
      <c r="D193" s="43">
        <f t="shared" si="14"/>
        <v>3034.5535454886449</v>
      </c>
      <c r="E193" s="43">
        <f t="shared" si="15"/>
        <v>925.18088981129915</v>
      </c>
      <c r="F193" s="43">
        <f t="shared" si="16"/>
        <v>219008.86000922311</v>
      </c>
      <c r="G193" s="43">
        <f t="shared" si="17"/>
        <v>319881.85505731322</v>
      </c>
    </row>
    <row r="194" spans="2:7" x14ac:dyDescent="0.4">
      <c r="B194" s="42">
        <f t="shared" si="12"/>
        <v>178</v>
      </c>
      <c r="C194" s="43">
        <f t="shared" si="13"/>
        <v>3959.7344352999444</v>
      </c>
      <c r="D194" s="43">
        <f t="shared" si="14"/>
        <v>3047.1975185948481</v>
      </c>
      <c r="E194" s="43">
        <f t="shared" si="15"/>
        <v>912.53691670509647</v>
      </c>
      <c r="F194" s="43">
        <f t="shared" si="16"/>
        <v>215961.66249062831</v>
      </c>
      <c r="G194" s="43">
        <f t="shared" si="17"/>
        <v>320794.39197401842</v>
      </c>
    </row>
    <row r="195" spans="2:7" x14ac:dyDescent="0.4">
      <c r="B195" s="42">
        <f t="shared" si="12"/>
        <v>179</v>
      </c>
      <c r="C195" s="43">
        <f t="shared" si="13"/>
        <v>3959.7344352999444</v>
      </c>
      <c r="D195" s="43">
        <f t="shared" si="14"/>
        <v>3059.8941749223263</v>
      </c>
      <c r="E195" s="43">
        <f t="shared" si="15"/>
        <v>899.84026037761794</v>
      </c>
      <c r="F195" s="43">
        <f t="shared" si="16"/>
        <v>212901.76831570605</v>
      </c>
      <c r="G195" s="43">
        <f t="shared" si="17"/>
        <v>321694.23223439604</v>
      </c>
    </row>
    <row r="196" spans="2:7" x14ac:dyDescent="0.4">
      <c r="B196" s="42">
        <f t="shared" si="12"/>
        <v>180</v>
      </c>
      <c r="C196" s="43">
        <f t="shared" si="13"/>
        <v>3959.7344352999444</v>
      </c>
      <c r="D196" s="43">
        <f t="shared" si="14"/>
        <v>3072.6437339845024</v>
      </c>
      <c r="E196" s="43">
        <f t="shared" si="15"/>
        <v>887.09070131544161</v>
      </c>
      <c r="F196" s="43">
        <f t="shared" si="16"/>
        <v>209829.12458172149</v>
      </c>
      <c r="G196" s="43">
        <f t="shared" si="17"/>
        <v>322581.32293571148</v>
      </c>
    </row>
    <row r="197" spans="2:7" x14ac:dyDescent="0.4">
      <c r="B197" s="42">
        <f t="shared" si="12"/>
        <v>181</v>
      </c>
      <c r="C197" s="43">
        <f t="shared" si="13"/>
        <v>3959.7344352999444</v>
      </c>
      <c r="D197" s="43">
        <f t="shared" si="14"/>
        <v>3085.4464162094382</v>
      </c>
      <c r="E197" s="43">
        <f t="shared" si="15"/>
        <v>874.28801909050617</v>
      </c>
      <c r="F197" s="43">
        <f t="shared" si="16"/>
        <v>206743.6781655121</v>
      </c>
      <c r="G197" s="43">
        <f t="shared" si="17"/>
        <v>323455.61095480208</v>
      </c>
    </row>
    <row r="198" spans="2:7" x14ac:dyDescent="0.4">
      <c r="B198" s="42">
        <f t="shared" si="12"/>
        <v>182</v>
      </c>
      <c r="C198" s="43">
        <f t="shared" si="13"/>
        <v>3959.7344352999444</v>
      </c>
      <c r="D198" s="43">
        <f t="shared" si="14"/>
        <v>3098.3024429436441</v>
      </c>
      <c r="E198" s="43">
        <f t="shared" si="15"/>
        <v>861.43199235630016</v>
      </c>
      <c r="F198" s="43">
        <f t="shared" si="16"/>
        <v>203645.37572256842</v>
      </c>
      <c r="G198" s="43">
        <f t="shared" si="17"/>
        <v>324317.04294715828</v>
      </c>
    </row>
    <row r="199" spans="2:7" x14ac:dyDescent="0.4">
      <c r="B199" s="42">
        <f t="shared" si="12"/>
        <v>183</v>
      </c>
      <c r="C199" s="43">
        <f t="shared" si="13"/>
        <v>3959.7344352999444</v>
      </c>
      <c r="D199" s="43">
        <f t="shared" si="14"/>
        <v>3111.2120364559096</v>
      </c>
      <c r="E199" s="43">
        <f t="shared" si="15"/>
        <v>848.52239884403514</v>
      </c>
      <c r="F199" s="43">
        <f t="shared" si="16"/>
        <v>200534.1636861125</v>
      </c>
      <c r="G199" s="43">
        <f t="shared" si="17"/>
        <v>325165.56534600235</v>
      </c>
    </row>
    <row r="200" spans="2:7" x14ac:dyDescent="0.4">
      <c r="B200" s="42">
        <f t="shared" si="12"/>
        <v>184</v>
      </c>
      <c r="C200" s="43">
        <f t="shared" si="13"/>
        <v>3959.7344352999444</v>
      </c>
      <c r="D200" s="43">
        <f t="shared" si="14"/>
        <v>3124.1754199411425</v>
      </c>
      <c r="E200" s="43">
        <f t="shared" si="15"/>
        <v>835.55901535880207</v>
      </c>
      <c r="F200" s="43">
        <f t="shared" si="16"/>
        <v>197409.98826617131</v>
      </c>
      <c r="G200" s="43">
        <f t="shared" si="17"/>
        <v>326001.12436136103</v>
      </c>
    </row>
    <row r="201" spans="2:7" x14ac:dyDescent="0.4">
      <c r="B201" s="42">
        <f t="shared" si="12"/>
        <v>185</v>
      </c>
      <c r="C201" s="43">
        <f t="shared" si="13"/>
        <v>3959.7344352999444</v>
      </c>
      <c r="D201" s="43">
        <f t="shared" si="14"/>
        <v>3137.1928175242306</v>
      </c>
      <c r="E201" s="43">
        <f t="shared" si="15"/>
        <v>822.54161777571403</v>
      </c>
      <c r="F201" s="43">
        <f t="shared" si="16"/>
        <v>194272.79544864711</v>
      </c>
      <c r="G201" s="43">
        <f t="shared" si="17"/>
        <v>326823.66597913683</v>
      </c>
    </row>
    <row r="202" spans="2:7" x14ac:dyDescent="0.4">
      <c r="B202" s="42">
        <f t="shared" si="12"/>
        <v>186</v>
      </c>
      <c r="C202" s="43">
        <f t="shared" si="13"/>
        <v>3959.7344352999444</v>
      </c>
      <c r="D202" s="43">
        <f t="shared" si="14"/>
        <v>3150.264454263915</v>
      </c>
      <c r="E202" s="43">
        <f t="shared" si="15"/>
        <v>809.46998103602948</v>
      </c>
      <c r="F202" s="43">
        <f t="shared" si="16"/>
        <v>191122.53099438321</v>
      </c>
      <c r="G202" s="43">
        <f t="shared" si="17"/>
        <v>327633.13596017292</v>
      </c>
    </row>
    <row r="203" spans="2:7" x14ac:dyDescent="0.4">
      <c r="B203" s="42">
        <f t="shared" si="12"/>
        <v>187</v>
      </c>
      <c r="C203" s="43">
        <f t="shared" si="13"/>
        <v>3959.7344352999444</v>
      </c>
      <c r="D203" s="43">
        <f t="shared" si="14"/>
        <v>3163.3905561566808</v>
      </c>
      <c r="E203" s="43">
        <f t="shared" si="15"/>
        <v>796.34387914326328</v>
      </c>
      <c r="F203" s="43">
        <f t="shared" si="16"/>
        <v>187959.14043822658</v>
      </c>
      <c r="G203" s="43">
        <f t="shared" si="17"/>
        <v>328429.47983931616</v>
      </c>
    </row>
    <row r="204" spans="2:7" x14ac:dyDescent="0.4">
      <c r="B204" s="42">
        <f t="shared" si="12"/>
        <v>188</v>
      </c>
      <c r="C204" s="43">
        <f t="shared" si="13"/>
        <v>3959.7344352999444</v>
      </c>
      <c r="D204" s="43">
        <f t="shared" si="14"/>
        <v>3176.5713501406672</v>
      </c>
      <c r="E204" s="43">
        <f t="shared" si="15"/>
        <v>783.1630851592771</v>
      </c>
      <c r="F204" s="43">
        <f t="shared" si="16"/>
        <v>184782.56908808585</v>
      </c>
      <c r="G204" s="43">
        <f t="shared" si="17"/>
        <v>329212.64292447543</v>
      </c>
    </row>
    <row r="205" spans="2:7" x14ac:dyDescent="0.4">
      <c r="B205" s="42">
        <f t="shared" si="12"/>
        <v>189</v>
      </c>
      <c r="C205" s="43">
        <f t="shared" si="13"/>
        <v>3959.7344352999444</v>
      </c>
      <c r="D205" s="43">
        <f t="shared" si="14"/>
        <v>3189.807064099587</v>
      </c>
      <c r="E205" s="43">
        <f t="shared" si="15"/>
        <v>769.9273712003577</v>
      </c>
      <c r="F205" s="43">
        <f t="shared" si="16"/>
        <v>181592.76202398626</v>
      </c>
      <c r="G205" s="43">
        <f t="shared" si="17"/>
        <v>329982.57029567572</v>
      </c>
    </row>
    <row r="206" spans="2:7" x14ac:dyDescent="0.4">
      <c r="B206" s="42">
        <f t="shared" si="12"/>
        <v>190</v>
      </c>
      <c r="C206" s="43">
        <f t="shared" si="13"/>
        <v>3959.7344352999444</v>
      </c>
      <c r="D206" s="43">
        <f t="shared" si="14"/>
        <v>3203.0979268666688</v>
      </c>
      <c r="E206" s="43">
        <f t="shared" si="15"/>
        <v>756.63650843327605</v>
      </c>
      <c r="F206" s="43">
        <f t="shared" si="16"/>
        <v>178389.66409711959</v>
      </c>
      <c r="G206" s="43">
        <f t="shared" si="17"/>
        <v>330739.20680410904</v>
      </c>
    </row>
    <row r="207" spans="2:7" x14ac:dyDescent="0.4">
      <c r="B207" s="42">
        <f t="shared" si="12"/>
        <v>191</v>
      </c>
      <c r="C207" s="43">
        <f t="shared" si="13"/>
        <v>3959.7344352999444</v>
      </c>
      <c r="D207" s="43">
        <f t="shared" si="14"/>
        <v>3216.4441682286129</v>
      </c>
      <c r="E207" s="43">
        <f t="shared" si="15"/>
        <v>743.29026707133175</v>
      </c>
      <c r="F207" s="43">
        <f t="shared" si="16"/>
        <v>175173.21992889099</v>
      </c>
      <c r="G207" s="43">
        <f t="shared" si="17"/>
        <v>331482.49707118032</v>
      </c>
    </row>
    <row r="208" spans="2:7" x14ac:dyDescent="0.4">
      <c r="B208" s="42">
        <f t="shared" si="12"/>
        <v>192</v>
      </c>
      <c r="C208" s="43">
        <f t="shared" si="13"/>
        <v>3959.7344352999444</v>
      </c>
      <c r="D208" s="43">
        <f t="shared" si="14"/>
        <v>3229.8460189295656</v>
      </c>
      <c r="E208" s="43">
        <f t="shared" si="15"/>
        <v>729.88841637037899</v>
      </c>
      <c r="F208" s="43">
        <f t="shared" si="16"/>
        <v>171943.37390996137</v>
      </c>
      <c r="G208" s="43">
        <f t="shared" si="17"/>
        <v>332212.38548755069</v>
      </c>
    </row>
    <row r="209" spans="2:7" x14ac:dyDescent="0.4">
      <c r="B209" s="42">
        <f t="shared" si="12"/>
        <v>193</v>
      </c>
      <c r="C209" s="43">
        <f t="shared" si="13"/>
        <v>3959.7344352999444</v>
      </c>
      <c r="D209" s="43">
        <f t="shared" si="14"/>
        <v>3243.3037106751053</v>
      </c>
      <c r="E209" s="43">
        <f t="shared" si="15"/>
        <v>716.43072462483917</v>
      </c>
      <c r="F209" s="43">
        <f t="shared" si="16"/>
        <v>168700.07019928627</v>
      </c>
      <c r="G209" s="43">
        <f t="shared" si="17"/>
        <v>332928.81621217559</v>
      </c>
    </row>
    <row r="210" spans="2:7" x14ac:dyDescent="0.4">
      <c r="B210" s="42">
        <f t="shared" si="12"/>
        <v>194</v>
      </c>
      <c r="C210" s="43">
        <f t="shared" si="13"/>
        <v>3959.7344352999444</v>
      </c>
      <c r="D210" s="43">
        <f t="shared" si="14"/>
        <v>3256.8174761362516</v>
      </c>
      <c r="E210" s="43">
        <f t="shared" si="15"/>
        <v>702.91695916369292</v>
      </c>
      <c r="F210" s="43">
        <f t="shared" si="16"/>
        <v>165443.25272315007</v>
      </c>
      <c r="G210" s="43">
        <f t="shared" si="17"/>
        <v>333631.73317133926</v>
      </c>
    </row>
    <row r="211" spans="2:7" x14ac:dyDescent="0.4">
      <c r="B211" s="42">
        <f t="shared" ref="B211:B256" si="18">B210+1</f>
        <v>195</v>
      </c>
      <c r="C211" s="43">
        <f t="shared" ref="C211:C256" si="19">$C$14</f>
        <v>3959.7344352999444</v>
      </c>
      <c r="D211" s="43">
        <f t="shared" ref="D211:D256" si="20">-PPMT($C$11/$C$13,B211,$C$12*$C$13,$C$10)</f>
        <v>3270.3875489534857</v>
      </c>
      <c r="E211" s="43">
        <f t="shared" ref="E211:E256" si="21">-IPMT($C$11/$C$13,B211,$C$12*$C$13,$C$10)</f>
        <v>689.34688634645863</v>
      </c>
      <c r="F211" s="43">
        <f t="shared" ref="F211:F256" si="22">$C$10+CUMPRINC($C$11/$C$13,$C$12*$C$13,$C$10,1,B211,0)</f>
        <v>162172.8651741966</v>
      </c>
      <c r="G211" s="43">
        <f t="shared" ref="G211:G256" si="23">CUMIPMT($C$11/$C$13,$C$12*$C$13,$C$10,1,B211,0)*-1</f>
        <v>334321.08005768579</v>
      </c>
    </row>
    <row r="212" spans="2:7" x14ac:dyDescent="0.4">
      <c r="B212" s="42">
        <f t="shared" si="18"/>
        <v>196</v>
      </c>
      <c r="C212" s="43">
        <f t="shared" si="19"/>
        <v>3959.7344352999444</v>
      </c>
      <c r="D212" s="43">
        <f t="shared" si="20"/>
        <v>3284.0141637407919</v>
      </c>
      <c r="E212" s="43">
        <f t="shared" si="21"/>
        <v>675.72027155915237</v>
      </c>
      <c r="F212" s="43">
        <f t="shared" si="22"/>
        <v>158888.85101045581</v>
      </c>
      <c r="G212" s="43">
        <f t="shared" si="23"/>
        <v>334996.80032924487</v>
      </c>
    </row>
    <row r="213" spans="2:7" x14ac:dyDescent="0.4">
      <c r="B213" s="42">
        <f t="shared" si="18"/>
        <v>197</v>
      </c>
      <c r="C213" s="43">
        <f t="shared" si="19"/>
        <v>3959.7344352999444</v>
      </c>
      <c r="D213" s="43">
        <f t="shared" si="20"/>
        <v>3297.6975560897117</v>
      </c>
      <c r="E213" s="43">
        <f t="shared" si="21"/>
        <v>662.03687921023243</v>
      </c>
      <c r="F213" s="43">
        <f t="shared" si="22"/>
        <v>155591.15345436614</v>
      </c>
      <c r="G213" s="43">
        <f t="shared" si="23"/>
        <v>335658.8372084552</v>
      </c>
    </row>
    <row r="214" spans="2:7" x14ac:dyDescent="0.4">
      <c r="B214" s="42">
        <f t="shared" si="18"/>
        <v>198</v>
      </c>
      <c r="C214" s="43">
        <f t="shared" si="19"/>
        <v>3959.7344352999444</v>
      </c>
      <c r="D214" s="43">
        <f t="shared" si="20"/>
        <v>3311.4379625734196</v>
      </c>
      <c r="E214" s="43">
        <f t="shared" si="21"/>
        <v>648.29647272652528</v>
      </c>
      <c r="F214" s="43">
        <f t="shared" si="22"/>
        <v>152279.71549179277</v>
      </c>
      <c r="G214" s="43">
        <f t="shared" si="23"/>
        <v>336307.1336811817</v>
      </c>
    </row>
    <row r="215" spans="2:7" x14ac:dyDescent="0.4">
      <c r="B215" s="42">
        <f t="shared" si="18"/>
        <v>199</v>
      </c>
      <c r="C215" s="43">
        <f t="shared" si="19"/>
        <v>3959.7344352999444</v>
      </c>
      <c r="D215" s="43">
        <f t="shared" si="20"/>
        <v>3325.2356207508083</v>
      </c>
      <c r="E215" s="43">
        <f t="shared" si="21"/>
        <v>634.498814549136</v>
      </c>
      <c r="F215" s="43">
        <f t="shared" si="22"/>
        <v>148954.47987104184</v>
      </c>
      <c r="G215" s="43">
        <f t="shared" si="23"/>
        <v>336941.63249573077</v>
      </c>
    </row>
    <row r="216" spans="2:7" x14ac:dyDescent="0.4">
      <c r="B216" s="42">
        <f t="shared" si="18"/>
        <v>200</v>
      </c>
      <c r="C216" s="43">
        <f t="shared" si="19"/>
        <v>3959.7344352999444</v>
      </c>
      <c r="D216" s="43">
        <f t="shared" si="20"/>
        <v>3339.0907691706034</v>
      </c>
      <c r="E216" s="43">
        <f t="shared" si="21"/>
        <v>620.64366612934111</v>
      </c>
      <c r="F216" s="43">
        <f t="shared" si="22"/>
        <v>145615.38910187123</v>
      </c>
      <c r="G216" s="43">
        <f t="shared" si="23"/>
        <v>337562.27616186015</v>
      </c>
    </row>
    <row r="217" spans="2:7" x14ac:dyDescent="0.4">
      <c r="B217" s="42">
        <f t="shared" si="18"/>
        <v>201</v>
      </c>
      <c r="C217" s="43">
        <f t="shared" si="19"/>
        <v>3959.7344352999444</v>
      </c>
      <c r="D217" s="43">
        <f t="shared" si="20"/>
        <v>3353.0036473754808</v>
      </c>
      <c r="E217" s="43">
        <f t="shared" si="21"/>
        <v>606.73078792446347</v>
      </c>
      <c r="F217" s="43">
        <f t="shared" si="22"/>
        <v>142262.38545449584</v>
      </c>
      <c r="G217" s="43">
        <f t="shared" si="23"/>
        <v>338169.00694978464</v>
      </c>
    </row>
    <row r="218" spans="2:7" x14ac:dyDescent="0.4">
      <c r="B218" s="42">
        <f t="shared" si="18"/>
        <v>202</v>
      </c>
      <c r="C218" s="43">
        <f t="shared" si="19"/>
        <v>3959.7344352999444</v>
      </c>
      <c r="D218" s="43">
        <f t="shared" si="20"/>
        <v>3366.9744959062118</v>
      </c>
      <c r="E218" s="43">
        <f t="shared" si="21"/>
        <v>592.75993939373234</v>
      </c>
      <c r="F218" s="43">
        <f t="shared" si="22"/>
        <v>138895.41095858958</v>
      </c>
      <c r="G218" s="43">
        <f t="shared" si="23"/>
        <v>338761.76688917837</v>
      </c>
    </row>
    <row r="219" spans="2:7" x14ac:dyDescent="0.4">
      <c r="B219" s="42">
        <f t="shared" si="18"/>
        <v>203</v>
      </c>
      <c r="C219" s="43">
        <f t="shared" si="19"/>
        <v>3959.7344352999444</v>
      </c>
      <c r="D219" s="43">
        <f t="shared" si="20"/>
        <v>3381.0035563058213</v>
      </c>
      <c r="E219" s="43">
        <f t="shared" si="21"/>
        <v>578.73087899412326</v>
      </c>
      <c r="F219" s="43">
        <f t="shared" si="22"/>
        <v>135514.40740228374</v>
      </c>
      <c r="G219" s="43">
        <f t="shared" si="23"/>
        <v>339340.49776817241</v>
      </c>
    </row>
    <row r="220" spans="2:7" x14ac:dyDescent="0.4">
      <c r="B220" s="42">
        <f t="shared" si="18"/>
        <v>204</v>
      </c>
      <c r="C220" s="43">
        <f t="shared" si="19"/>
        <v>3959.7344352999444</v>
      </c>
      <c r="D220" s="43">
        <f t="shared" si="20"/>
        <v>3395.091071123762</v>
      </c>
      <c r="E220" s="43">
        <f t="shared" si="21"/>
        <v>564.64336417618222</v>
      </c>
      <c r="F220" s="43">
        <f t="shared" si="22"/>
        <v>132119.31633116002</v>
      </c>
      <c r="G220" s="43">
        <f t="shared" si="23"/>
        <v>339905.14113234868</v>
      </c>
    </row>
    <row r="221" spans="2:7" x14ac:dyDescent="0.4">
      <c r="B221" s="42">
        <f t="shared" si="18"/>
        <v>205</v>
      </c>
      <c r="C221" s="43">
        <f t="shared" si="19"/>
        <v>3959.7344352999444</v>
      </c>
      <c r="D221" s="43">
        <f t="shared" si="20"/>
        <v>3409.2372839201112</v>
      </c>
      <c r="E221" s="43">
        <f t="shared" si="21"/>
        <v>550.49715137983321</v>
      </c>
      <c r="F221" s="43">
        <f t="shared" si="22"/>
        <v>128710.07904723991</v>
      </c>
      <c r="G221" s="43">
        <f t="shared" si="23"/>
        <v>340455.63828372856</v>
      </c>
    </row>
    <row r="222" spans="2:7" x14ac:dyDescent="0.4">
      <c r="B222" s="42">
        <f t="shared" si="18"/>
        <v>206</v>
      </c>
      <c r="C222" s="43">
        <f t="shared" si="19"/>
        <v>3959.7344352999444</v>
      </c>
      <c r="D222" s="43">
        <f t="shared" si="20"/>
        <v>3423.4424392697783</v>
      </c>
      <c r="E222" s="43">
        <f t="shared" si="21"/>
        <v>536.29199603016605</v>
      </c>
      <c r="F222" s="43">
        <f t="shared" si="22"/>
        <v>125286.63660797017</v>
      </c>
      <c r="G222" s="43">
        <f t="shared" si="23"/>
        <v>340991.9302797587</v>
      </c>
    </row>
    <row r="223" spans="2:7" x14ac:dyDescent="0.4">
      <c r="B223" s="42">
        <f t="shared" si="18"/>
        <v>207</v>
      </c>
      <c r="C223" s="43">
        <f t="shared" si="19"/>
        <v>3959.7344352999444</v>
      </c>
      <c r="D223" s="43">
        <f t="shared" si="20"/>
        <v>3437.7067827667356</v>
      </c>
      <c r="E223" s="43">
        <f t="shared" si="21"/>
        <v>522.02765253320877</v>
      </c>
      <c r="F223" s="43">
        <f t="shared" si="22"/>
        <v>121848.92982520332</v>
      </c>
      <c r="G223" s="43">
        <f t="shared" si="23"/>
        <v>341513.95793229184</v>
      </c>
    </row>
    <row r="224" spans="2:7" x14ac:dyDescent="0.4">
      <c r="B224" s="42">
        <f t="shared" si="18"/>
        <v>208</v>
      </c>
      <c r="C224" s="43">
        <f t="shared" si="19"/>
        <v>3959.7344352999444</v>
      </c>
      <c r="D224" s="43">
        <f t="shared" si="20"/>
        <v>3452.0305610282635</v>
      </c>
      <c r="E224" s="43">
        <f t="shared" si="21"/>
        <v>507.70387427168055</v>
      </c>
      <c r="F224" s="43">
        <f t="shared" si="22"/>
        <v>118396.89926417504</v>
      </c>
      <c r="G224" s="43">
        <f t="shared" si="23"/>
        <v>342021.66180656344</v>
      </c>
    </row>
    <row r="225" spans="2:7" x14ac:dyDescent="0.4">
      <c r="B225" s="42">
        <f t="shared" si="18"/>
        <v>209</v>
      </c>
      <c r="C225" s="43">
        <f t="shared" si="19"/>
        <v>3959.7344352999444</v>
      </c>
      <c r="D225" s="43">
        <f t="shared" si="20"/>
        <v>3466.414021699215</v>
      </c>
      <c r="E225" s="43">
        <f t="shared" si="21"/>
        <v>493.32041360072952</v>
      </c>
      <c r="F225" s="43">
        <f t="shared" si="22"/>
        <v>114930.48524247587</v>
      </c>
      <c r="G225" s="43">
        <f t="shared" si="23"/>
        <v>342514.98222016427</v>
      </c>
    </row>
    <row r="226" spans="2:7" x14ac:dyDescent="0.4">
      <c r="B226" s="42">
        <f t="shared" si="18"/>
        <v>210</v>
      </c>
      <c r="C226" s="43">
        <f t="shared" si="19"/>
        <v>3959.7344352999444</v>
      </c>
      <c r="D226" s="43">
        <f t="shared" si="20"/>
        <v>3480.857413456295</v>
      </c>
      <c r="E226" s="43">
        <f t="shared" si="21"/>
        <v>478.87702184364952</v>
      </c>
      <c r="F226" s="43">
        <f t="shared" si="22"/>
        <v>111449.62782901968</v>
      </c>
      <c r="G226" s="43">
        <f t="shared" si="23"/>
        <v>342993.85924200795</v>
      </c>
    </row>
    <row r="227" spans="2:7" x14ac:dyDescent="0.4">
      <c r="B227" s="42">
        <f t="shared" si="18"/>
        <v>211</v>
      </c>
      <c r="C227" s="43">
        <f t="shared" si="19"/>
        <v>3959.7344352999444</v>
      </c>
      <c r="D227" s="43">
        <f t="shared" si="20"/>
        <v>3495.3609860123624</v>
      </c>
      <c r="E227" s="43">
        <f t="shared" si="21"/>
        <v>464.37344928758154</v>
      </c>
      <c r="F227" s="43">
        <f t="shared" si="22"/>
        <v>107954.26684300724</v>
      </c>
      <c r="G227" s="43">
        <f t="shared" si="23"/>
        <v>343458.2326912955</v>
      </c>
    </row>
    <row r="228" spans="2:7" x14ac:dyDescent="0.4">
      <c r="B228" s="42">
        <f t="shared" si="18"/>
        <v>212</v>
      </c>
      <c r="C228" s="43">
        <f t="shared" si="19"/>
        <v>3959.7344352999444</v>
      </c>
      <c r="D228" s="43">
        <f t="shared" si="20"/>
        <v>3509.9249901207477</v>
      </c>
      <c r="E228" s="43">
        <f t="shared" si="21"/>
        <v>449.80944517919676</v>
      </c>
      <c r="F228" s="43">
        <f t="shared" si="22"/>
        <v>104444.34185288643</v>
      </c>
      <c r="G228" s="43">
        <f t="shared" si="23"/>
        <v>343908.04213647469</v>
      </c>
    </row>
    <row r="229" spans="2:7" x14ac:dyDescent="0.4">
      <c r="B229" s="42">
        <f t="shared" si="18"/>
        <v>213</v>
      </c>
      <c r="C229" s="43">
        <f t="shared" si="19"/>
        <v>3959.7344352999444</v>
      </c>
      <c r="D229" s="43">
        <f t="shared" si="20"/>
        <v>3524.5496775795841</v>
      </c>
      <c r="E229" s="43">
        <f t="shared" si="21"/>
        <v>435.18475772036032</v>
      </c>
      <c r="F229" s="43">
        <f t="shared" si="22"/>
        <v>100919.79217530694</v>
      </c>
      <c r="G229" s="43">
        <f t="shared" si="23"/>
        <v>344343.22689419508</v>
      </c>
    </row>
    <row r="230" spans="2:7" x14ac:dyDescent="0.4">
      <c r="B230" s="42">
        <f t="shared" si="18"/>
        <v>214</v>
      </c>
      <c r="C230" s="43">
        <f t="shared" si="19"/>
        <v>3959.7344352999444</v>
      </c>
      <c r="D230" s="43">
        <f t="shared" si="20"/>
        <v>3539.2353012361659</v>
      </c>
      <c r="E230" s="43">
        <f t="shared" si="21"/>
        <v>420.49913406377874</v>
      </c>
      <c r="F230" s="43">
        <f t="shared" si="22"/>
        <v>97380.556874070608</v>
      </c>
      <c r="G230" s="43">
        <f t="shared" si="23"/>
        <v>344763.72602825874</v>
      </c>
    </row>
    <row r="231" spans="2:7" x14ac:dyDescent="0.4">
      <c r="B231" s="42">
        <f t="shared" si="18"/>
        <v>215</v>
      </c>
      <c r="C231" s="43">
        <f t="shared" si="19"/>
        <v>3959.7344352999444</v>
      </c>
      <c r="D231" s="43">
        <f t="shared" si="20"/>
        <v>3553.9821149913168</v>
      </c>
      <c r="E231" s="43">
        <f t="shared" si="21"/>
        <v>405.75232030862793</v>
      </c>
      <c r="F231" s="43">
        <f t="shared" si="22"/>
        <v>93826.574759079318</v>
      </c>
      <c r="G231" s="43">
        <f t="shared" si="23"/>
        <v>345169.47834856733</v>
      </c>
    </row>
    <row r="232" spans="2:7" x14ac:dyDescent="0.4">
      <c r="B232" s="42">
        <f t="shared" si="18"/>
        <v>216</v>
      </c>
      <c r="C232" s="43">
        <f t="shared" si="19"/>
        <v>3959.7344352999444</v>
      </c>
      <c r="D232" s="43">
        <f t="shared" si="20"/>
        <v>3568.7903738037803</v>
      </c>
      <c r="E232" s="43">
        <f t="shared" si="21"/>
        <v>390.94406149616424</v>
      </c>
      <c r="F232" s="43">
        <f t="shared" si="22"/>
        <v>90257.78438527562</v>
      </c>
      <c r="G232" s="43">
        <f t="shared" si="23"/>
        <v>345560.42241006362</v>
      </c>
    </row>
    <row r="233" spans="2:7" x14ac:dyDescent="0.4">
      <c r="B233" s="42">
        <f t="shared" si="18"/>
        <v>217</v>
      </c>
      <c r="C233" s="43">
        <f t="shared" si="19"/>
        <v>3959.7344352999444</v>
      </c>
      <c r="D233" s="43">
        <f t="shared" si="20"/>
        <v>3583.6603336946296</v>
      </c>
      <c r="E233" s="43">
        <f t="shared" si="21"/>
        <v>376.07410160531515</v>
      </c>
      <c r="F233" s="43">
        <f t="shared" si="22"/>
        <v>86674.124051580962</v>
      </c>
      <c r="G233" s="43">
        <f t="shared" si="23"/>
        <v>345936.49651166884</v>
      </c>
    </row>
    <row r="234" spans="2:7" x14ac:dyDescent="0.4">
      <c r="B234" s="42">
        <f t="shared" si="18"/>
        <v>218</v>
      </c>
      <c r="C234" s="43">
        <f t="shared" si="19"/>
        <v>3959.7344352999444</v>
      </c>
      <c r="D234" s="43">
        <f t="shared" si="20"/>
        <v>3598.5922517516901</v>
      </c>
      <c r="E234" s="43">
        <f t="shared" si="21"/>
        <v>361.14218354825414</v>
      </c>
      <c r="F234" s="43">
        <f t="shared" si="22"/>
        <v>83075.531799829332</v>
      </c>
      <c r="G234" s="43">
        <f t="shared" si="23"/>
        <v>346297.6386952172</v>
      </c>
    </row>
    <row r="235" spans="2:7" x14ac:dyDescent="0.4">
      <c r="B235" s="42">
        <f t="shared" si="18"/>
        <v>219</v>
      </c>
      <c r="C235" s="43">
        <f t="shared" si="19"/>
        <v>3959.7344352999444</v>
      </c>
      <c r="D235" s="43">
        <f t="shared" si="20"/>
        <v>3613.586386133989</v>
      </c>
      <c r="E235" s="43">
        <f t="shared" si="21"/>
        <v>346.1480491659554</v>
      </c>
      <c r="F235" s="43">
        <f t="shared" si="22"/>
        <v>79461.945413695357</v>
      </c>
      <c r="G235" s="43">
        <f t="shared" si="23"/>
        <v>346643.78674438322</v>
      </c>
    </row>
    <row r="236" spans="2:7" x14ac:dyDescent="0.4">
      <c r="B236" s="42">
        <f t="shared" si="18"/>
        <v>220</v>
      </c>
      <c r="C236" s="43">
        <f t="shared" si="19"/>
        <v>3959.7344352999444</v>
      </c>
      <c r="D236" s="43">
        <f t="shared" si="20"/>
        <v>3628.6429960762139</v>
      </c>
      <c r="E236" s="43">
        <f t="shared" si="21"/>
        <v>331.0914392237305</v>
      </c>
      <c r="F236" s="43">
        <f t="shared" si="22"/>
        <v>75833.302417619154</v>
      </c>
      <c r="G236" s="43">
        <f t="shared" si="23"/>
        <v>346974.8781836069</v>
      </c>
    </row>
    <row r="237" spans="2:7" x14ac:dyDescent="0.4">
      <c r="B237" s="42">
        <f t="shared" si="18"/>
        <v>221</v>
      </c>
      <c r="C237" s="43">
        <f t="shared" si="19"/>
        <v>3959.7344352999444</v>
      </c>
      <c r="D237" s="43">
        <f t="shared" si="20"/>
        <v>3643.762341893198</v>
      </c>
      <c r="E237" s="43">
        <f t="shared" si="21"/>
        <v>315.97209340674624</v>
      </c>
      <c r="F237" s="43">
        <f t="shared" si="22"/>
        <v>72189.540075726109</v>
      </c>
      <c r="G237" s="43">
        <f t="shared" si="23"/>
        <v>347290.85027701384</v>
      </c>
    </row>
    <row r="238" spans="2:7" x14ac:dyDescent="0.4">
      <c r="B238" s="42">
        <f t="shared" si="18"/>
        <v>222</v>
      </c>
      <c r="C238" s="43">
        <f t="shared" si="19"/>
        <v>3959.7344352999444</v>
      </c>
      <c r="D238" s="43">
        <f t="shared" si="20"/>
        <v>3658.9446849844198</v>
      </c>
      <c r="E238" s="43">
        <f t="shared" si="21"/>
        <v>300.78975031552466</v>
      </c>
      <c r="F238" s="43">
        <f t="shared" si="22"/>
        <v>68530.595390741481</v>
      </c>
      <c r="G238" s="43">
        <f t="shared" si="23"/>
        <v>347591.64002732909</v>
      </c>
    </row>
    <row r="239" spans="2:7" x14ac:dyDescent="0.4">
      <c r="B239" s="42">
        <f t="shared" si="18"/>
        <v>223</v>
      </c>
      <c r="C239" s="43">
        <f t="shared" si="19"/>
        <v>3959.7344352999444</v>
      </c>
      <c r="D239" s="43">
        <f t="shared" si="20"/>
        <v>3674.1902878385217</v>
      </c>
      <c r="E239" s="43">
        <f t="shared" si="21"/>
        <v>285.54414746142282</v>
      </c>
      <c r="F239" s="43">
        <f t="shared" si="22"/>
        <v>64856.40510290314</v>
      </c>
      <c r="G239" s="43">
        <f t="shared" si="23"/>
        <v>347877.18417479075</v>
      </c>
    </row>
    <row r="240" spans="2:7" x14ac:dyDescent="0.4">
      <c r="B240" s="42">
        <f t="shared" si="18"/>
        <v>224</v>
      </c>
      <c r="C240" s="43">
        <f t="shared" si="19"/>
        <v>3959.7344352999444</v>
      </c>
      <c r="D240" s="43">
        <f t="shared" si="20"/>
        <v>3689.499414037849</v>
      </c>
      <c r="E240" s="43">
        <f t="shared" si="21"/>
        <v>270.2350212620957</v>
      </c>
      <c r="F240" s="43">
        <f t="shared" si="22"/>
        <v>61166.905688864994</v>
      </c>
      <c r="G240" s="43">
        <f t="shared" si="23"/>
        <v>348147.41919605259</v>
      </c>
    </row>
    <row r="241" spans="2:7" x14ac:dyDescent="0.4">
      <c r="B241" s="42">
        <f t="shared" si="18"/>
        <v>225</v>
      </c>
      <c r="C241" s="43">
        <f t="shared" si="19"/>
        <v>3959.7344352999444</v>
      </c>
      <c r="D241" s="43">
        <f t="shared" si="20"/>
        <v>3704.8723282630067</v>
      </c>
      <c r="E241" s="43">
        <f t="shared" si="21"/>
        <v>254.86210703693803</v>
      </c>
      <c r="F241" s="43">
        <f t="shared" si="22"/>
        <v>57462.033360602101</v>
      </c>
      <c r="G241" s="43">
        <f t="shared" si="23"/>
        <v>348402.28130308958</v>
      </c>
    </row>
    <row r="242" spans="2:7" x14ac:dyDescent="0.4">
      <c r="B242" s="42">
        <f t="shared" si="18"/>
        <v>226</v>
      </c>
      <c r="C242" s="43">
        <f t="shared" si="19"/>
        <v>3959.7344352999444</v>
      </c>
      <c r="D242" s="43">
        <f t="shared" si="20"/>
        <v>3720.3092962974356</v>
      </c>
      <c r="E242" s="43">
        <f t="shared" si="21"/>
        <v>239.42513900250881</v>
      </c>
      <c r="F242" s="43">
        <f t="shared" si="22"/>
        <v>53741.724064304843</v>
      </c>
      <c r="G242" s="43">
        <f t="shared" si="23"/>
        <v>348641.70644209231</v>
      </c>
    </row>
    <row r="243" spans="2:7" x14ac:dyDescent="0.4">
      <c r="B243" s="42">
        <f t="shared" si="18"/>
        <v>227</v>
      </c>
      <c r="C243" s="43">
        <f t="shared" si="19"/>
        <v>3959.7344352999444</v>
      </c>
      <c r="D243" s="43">
        <f t="shared" si="20"/>
        <v>3735.810585032008</v>
      </c>
      <c r="E243" s="43">
        <f t="shared" si="21"/>
        <v>223.92385026793622</v>
      </c>
      <c r="F243" s="43">
        <f t="shared" si="22"/>
        <v>50005.913479272742</v>
      </c>
      <c r="G243" s="43">
        <f t="shared" si="23"/>
        <v>348865.63029236009</v>
      </c>
    </row>
    <row r="244" spans="2:7" x14ac:dyDescent="0.4">
      <c r="B244" s="42">
        <f t="shared" si="18"/>
        <v>228</v>
      </c>
      <c r="C244" s="43">
        <f t="shared" si="19"/>
        <v>3959.7344352999444</v>
      </c>
      <c r="D244" s="43">
        <f t="shared" si="20"/>
        <v>3751.3764624696419</v>
      </c>
      <c r="E244" s="43">
        <f t="shared" si="21"/>
        <v>208.35797283030283</v>
      </c>
      <c r="F244" s="43">
        <f t="shared" si="22"/>
        <v>46254.537016803049</v>
      </c>
      <c r="G244" s="43">
        <f t="shared" si="23"/>
        <v>349073.98826519039</v>
      </c>
    </row>
    <row r="245" spans="2:7" x14ac:dyDescent="0.4">
      <c r="B245" s="42">
        <f t="shared" si="18"/>
        <v>229</v>
      </c>
      <c r="C245" s="43">
        <f t="shared" si="19"/>
        <v>3959.7344352999444</v>
      </c>
      <c r="D245" s="43">
        <f t="shared" si="20"/>
        <v>3767.0071977299317</v>
      </c>
      <c r="E245" s="43">
        <f t="shared" si="21"/>
        <v>192.72723757001265</v>
      </c>
      <c r="F245" s="43">
        <f t="shared" si="22"/>
        <v>42487.529819073272</v>
      </c>
      <c r="G245" s="43">
        <f t="shared" si="23"/>
        <v>349266.71550276049</v>
      </c>
    </row>
    <row r="246" spans="2:7" x14ac:dyDescent="0.4">
      <c r="B246" s="42">
        <f t="shared" si="18"/>
        <v>230</v>
      </c>
      <c r="C246" s="43">
        <f t="shared" si="19"/>
        <v>3959.7344352999444</v>
      </c>
      <c r="D246" s="43">
        <f t="shared" si="20"/>
        <v>3782.7030610538068</v>
      </c>
      <c r="E246" s="43">
        <f t="shared" si="21"/>
        <v>177.03137424613794</v>
      </c>
      <c r="F246" s="43">
        <f t="shared" si="22"/>
        <v>38704.826758019277</v>
      </c>
      <c r="G246" s="43">
        <f t="shared" si="23"/>
        <v>349443.74687700649</v>
      </c>
    </row>
    <row r="247" spans="2:7" x14ac:dyDescent="0.4">
      <c r="B247" s="42">
        <f t="shared" si="18"/>
        <v>231</v>
      </c>
      <c r="C247" s="43">
        <f t="shared" si="19"/>
        <v>3959.7344352999444</v>
      </c>
      <c r="D247" s="43">
        <f t="shared" si="20"/>
        <v>3798.4643238081976</v>
      </c>
      <c r="E247" s="43">
        <f t="shared" si="21"/>
        <v>161.27011149174706</v>
      </c>
      <c r="F247" s="43">
        <f t="shared" si="22"/>
        <v>34906.362434211071</v>
      </c>
      <c r="G247" s="43">
        <f t="shared" si="23"/>
        <v>349605.01698849828</v>
      </c>
    </row>
    <row r="248" spans="2:7" x14ac:dyDescent="0.4">
      <c r="B248" s="42">
        <f t="shared" si="18"/>
        <v>232</v>
      </c>
      <c r="C248" s="43">
        <f t="shared" si="19"/>
        <v>3959.7344352999444</v>
      </c>
      <c r="D248" s="43">
        <f t="shared" si="20"/>
        <v>3814.2912584907313</v>
      </c>
      <c r="E248" s="43">
        <f t="shared" si="21"/>
        <v>145.4431768092129</v>
      </c>
      <c r="F248" s="43">
        <f t="shared" si="22"/>
        <v>31092.071175720426</v>
      </c>
      <c r="G248" s="43">
        <f t="shared" si="23"/>
        <v>349750.46016530751</v>
      </c>
    </row>
    <row r="249" spans="2:7" x14ac:dyDescent="0.4">
      <c r="B249" s="42">
        <f t="shared" si="18"/>
        <v>233</v>
      </c>
      <c r="C249" s="43">
        <f t="shared" si="19"/>
        <v>3959.7344352999444</v>
      </c>
      <c r="D249" s="43">
        <f t="shared" si="20"/>
        <v>3830.1841387344425</v>
      </c>
      <c r="E249" s="43">
        <f t="shared" si="21"/>
        <v>129.55029656550153</v>
      </c>
      <c r="F249" s="43">
        <f t="shared" si="22"/>
        <v>27261.887036985951</v>
      </c>
      <c r="G249" s="43">
        <f t="shared" si="23"/>
        <v>349880.01046187303</v>
      </c>
    </row>
    <row r="250" spans="2:7" x14ac:dyDescent="0.4">
      <c r="B250" s="42">
        <f t="shared" si="18"/>
        <v>234</v>
      </c>
      <c r="C250" s="43">
        <f t="shared" si="19"/>
        <v>3959.7344352999444</v>
      </c>
      <c r="D250" s="43">
        <f t="shared" si="20"/>
        <v>3846.1432393125033</v>
      </c>
      <c r="E250" s="43">
        <f t="shared" si="21"/>
        <v>113.59119598744137</v>
      </c>
      <c r="F250" s="43">
        <f t="shared" si="22"/>
        <v>23415.743797673378</v>
      </c>
      <c r="G250" s="43">
        <f t="shared" si="23"/>
        <v>349993.60165786033</v>
      </c>
    </row>
    <row r="251" spans="2:7" x14ac:dyDescent="0.4">
      <c r="B251" s="42">
        <f t="shared" si="18"/>
        <v>235</v>
      </c>
      <c r="C251" s="43">
        <f t="shared" si="19"/>
        <v>3959.7344352999444</v>
      </c>
      <c r="D251" s="43">
        <f t="shared" si="20"/>
        <v>3862.1688361429719</v>
      </c>
      <c r="E251" s="43">
        <f t="shared" si="21"/>
        <v>97.56559915697261</v>
      </c>
      <c r="F251" s="43">
        <f t="shared" si="22"/>
        <v>19553.574961530278</v>
      </c>
      <c r="G251" s="43">
        <f t="shared" si="23"/>
        <v>350091.16725701722</v>
      </c>
    </row>
    <row r="252" spans="2:7" x14ac:dyDescent="0.4">
      <c r="B252" s="42">
        <f t="shared" si="18"/>
        <v>236</v>
      </c>
      <c r="C252" s="43">
        <f t="shared" si="19"/>
        <v>3959.7344352999444</v>
      </c>
      <c r="D252" s="43">
        <f t="shared" si="20"/>
        <v>3878.2612062935677</v>
      </c>
      <c r="E252" s="43">
        <f t="shared" si="21"/>
        <v>81.473229006376883</v>
      </c>
      <c r="F252" s="43">
        <f t="shared" si="22"/>
        <v>15675.313755236915</v>
      </c>
      <c r="G252" s="43">
        <f t="shared" si="23"/>
        <v>350172.64048602374</v>
      </c>
    </row>
    <row r="253" spans="2:7" x14ac:dyDescent="0.4">
      <c r="B253" s="42">
        <f t="shared" si="18"/>
        <v>237</v>
      </c>
      <c r="C253" s="43">
        <f t="shared" si="19"/>
        <v>3959.7344352999444</v>
      </c>
      <c r="D253" s="43">
        <f t="shared" si="20"/>
        <v>3894.4206279864575</v>
      </c>
      <c r="E253" s="43">
        <f t="shared" si="21"/>
        <v>65.313807313487018</v>
      </c>
      <c r="F253" s="43">
        <f t="shared" si="22"/>
        <v>11780.893127250369</v>
      </c>
      <c r="G253" s="43">
        <f t="shared" si="23"/>
        <v>350237.95429333718</v>
      </c>
    </row>
    <row r="254" spans="2:7" x14ac:dyDescent="0.4">
      <c r="B254" s="42">
        <f t="shared" si="18"/>
        <v>238</v>
      </c>
      <c r="C254" s="43">
        <f t="shared" si="19"/>
        <v>3959.7344352999444</v>
      </c>
      <c r="D254" s="43">
        <f t="shared" si="20"/>
        <v>3910.6473806030676</v>
      </c>
      <c r="E254" s="43">
        <f t="shared" si="21"/>
        <v>49.087054696876784</v>
      </c>
      <c r="F254" s="43">
        <f t="shared" si="22"/>
        <v>7870.2457466474734</v>
      </c>
      <c r="G254" s="43">
        <f t="shared" si="23"/>
        <v>350287.04134803428</v>
      </c>
    </row>
    <row r="255" spans="2:7" x14ac:dyDescent="0.4">
      <c r="B255" s="42">
        <f t="shared" si="18"/>
        <v>239</v>
      </c>
      <c r="C255" s="43">
        <f t="shared" si="19"/>
        <v>3959.7344352999444</v>
      </c>
      <c r="D255" s="43">
        <f t="shared" si="20"/>
        <v>3926.9417446889138</v>
      </c>
      <c r="E255" s="43">
        <f t="shared" si="21"/>
        <v>32.792690611030679</v>
      </c>
      <c r="F255" s="43">
        <f t="shared" si="22"/>
        <v>3943.3040019583423</v>
      </c>
      <c r="G255" s="43">
        <f t="shared" si="23"/>
        <v>350319.83403864503</v>
      </c>
    </row>
    <row r="256" spans="2:7" x14ac:dyDescent="0.4">
      <c r="B256" s="42">
        <f t="shared" si="18"/>
        <v>240</v>
      </c>
      <c r="C256" s="43">
        <f t="shared" si="19"/>
        <v>3959.7344352999444</v>
      </c>
      <c r="D256" s="43">
        <f t="shared" si="20"/>
        <v>3943.304001958451</v>
      </c>
      <c r="E256" s="43">
        <f t="shared" si="21"/>
        <v>16.43043334149354</v>
      </c>
      <c r="F256" s="43">
        <f t="shared" si="22"/>
        <v>0</v>
      </c>
      <c r="G256" s="43">
        <f t="shared" si="23"/>
        <v>350336.26447198668</v>
      </c>
    </row>
  </sheetData>
  <mergeCells count="2">
    <mergeCell ref="B7:I8"/>
    <mergeCell ref="E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2F73-C5C0-3441-84BB-E0A6009C70A8}">
  <dimension ref="B2:U126"/>
  <sheetViews>
    <sheetView topLeftCell="D53" zoomScale="58" zoomScaleNormal="45" workbookViewId="0">
      <selection activeCell="F130" sqref="F130"/>
    </sheetView>
  </sheetViews>
  <sheetFormatPr defaultColWidth="10.6640625" defaultRowHeight="16" outlineLevelRow="1" x14ac:dyDescent="0.4"/>
  <cols>
    <col min="1" max="1" width="10.6640625" customWidth="1"/>
    <col min="2" max="2" width="12.5" bestFit="1" customWidth="1"/>
  </cols>
  <sheetData>
    <row r="2" spans="2:21" x14ac:dyDescent="0.4">
      <c r="B2" s="4" t="s">
        <v>9</v>
      </c>
      <c r="C2" s="5" t="s">
        <v>10</v>
      </c>
      <c r="D2" s="5" t="s">
        <v>4</v>
      </c>
      <c r="E2" s="5" t="s">
        <v>11</v>
      </c>
      <c r="F2" s="5" t="s">
        <v>3</v>
      </c>
      <c r="G2" s="5" t="s">
        <v>12</v>
      </c>
      <c r="H2" s="5" t="s">
        <v>13</v>
      </c>
      <c r="I2" s="5" t="s">
        <v>14</v>
      </c>
      <c r="J2" s="5" t="s">
        <v>15</v>
      </c>
      <c r="K2" s="5" t="s">
        <v>16</v>
      </c>
      <c r="L2" s="5" t="s">
        <v>17</v>
      </c>
      <c r="M2" s="5" t="s">
        <v>18</v>
      </c>
      <c r="N2" s="5" t="s">
        <v>19</v>
      </c>
      <c r="O2" s="5" t="s">
        <v>20</v>
      </c>
    </row>
    <row r="3" spans="2:21" ht="16" customHeight="1" x14ac:dyDescent="0.4">
      <c r="B3" s="6">
        <v>1</v>
      </c>
      <c r="C3" s="7" t="s">
        <v>21</v>
      </c>
      <c r="D3" s="7" t="s">
        <v>22</v>
      </c>
      <c r="E3" s="7" t="s">
        <v>23</v>
      </c>
      <c r="F3" s="7" t="s">
        <v>24</v>
      </c>
      <c r="G3" s="7" t="s">
        <v>25</v>
      </c>
      <c r="H3" s="7" t="s">
        <v>26</v>
      </c>
      <c r="I3" s="7" t="s">
        <v>22</v>
      </c>
      <c r="J3" s="7" t="s">
        <v>27</v>
      </c>
      <c r="K3" s="7" t="s">
        <v>28</v>
      </c>
      <c r="L3" s="7" t="s">
        <v>29</v>
      </c>
      <c r="M3" s="7" t="s">
        <v>30</v>
      </c>
      <c r="N3" s="8">
        <v>211000</v>
      </c>
      <c r="O3" s="7">
        <v>74</v>
      </c>
      <c r="Q3" s="47" t="s">
        <v>513</v>
      </c>
      <c r="R3" s="47"/>
      <c r="S3" s="47"/>
      <c r="T3" s="47"/>
      <c r="U3" s="47"/>
    </row>
    <row r="4" spans="2:21" x14ac:dyDescent="0.4">
      <c r="B4" s="6">
        <v>2</v>
      </c>
      <c r="C4" s="7" t="s">
        <v>31</v>
      </c>
      <c r="D4" s="7" t="s">
        <v>32</v>
      </c>
      <c r="E4" s="7" t="s">
        <v>33</v>
      </c>
      <c r="F4" s="7" t="s">
        <v>34</v>
      </c>
      <c r="G4" s="7" t="s">
        <v>35</v>
      </c>
      <c r="H4" s="7" t="s">
        <v>36</v>
      </c>
      <c r="I4" s="7" t="s">
        <v>32</v>
      </c>
      <c r="J4" s="7" t="s">
        <v>37</v>
      </c>
      <c r="K4" s="7" t="s">
        <v>28</v>
      </c>
      <c r="L4" s="7" t="s">
        <v>38</v>
      </c>
      <c r="M4" s="7" t="s">
        <v>39</v>
      </c>
      <c r="N4" s="8">
        <v>180000</v>
      </c>
      <c r="O4" s="7">
        <v>51</v>
      </c>
      <c r="Q4" s="47"/>
      <c r="R4" s="47"/>
      <c r="S4" s="47"/>
      <c r="T4" s="47"/>
      <c r="U4" s="47"/>
    </row>
    <row r="5" spans="2:21" x14ac:dyDescent="0.4">
      <c r="B5" s="6">
        <v>3</v>
      </c>
      <c r="C5" s="7" t="s">
        <v>40</v>
      </c>
      <c r="D5" s="7" t="s">
        <v>41</v>
      </c>
      <c r="E5" s="7" t="s">
        <v>33</v>
      </c>
      <c r="F5" s="7" t="s">
        <v>34</v>
      </c>
      <c r="G5" s="7" t="s">
        <v>42</v>
      </c>
      <c r="H5" s="7" t="s">
        <v>0</v>
      </c>
      <c r="I5" s="7" t="s">
        <v>41</v>
      </c>
      <c r="J5" s="7" t="s">
        <v>37</v>
      </c>
      <c r="K5" s="7" t="s">
        <v>28</v>
      </c>
      <c r="L5" s="7" t="s">
        <v>43</v>
      </c>
      <c r="M5" s="7" t="s">
        <v>44</v>
      </c>
      <c r="N5" s="8">
        <v>114000</v>
      </c>
      <c r="O5" s="7">
        <v>59</v>
      </c>
      <c r="Q5" s="47"/>
      <c r="R5" s="47"/>
      <c r="S5" s="47"/>
      <c r="T5" s="47"/>
      <c r="U5" s="47"/>
    </row>
    <row r="6" spans="2:21" x14ac:dyDescent="0.4">
      <c r="B6" s="6">
        <v>4</v>
      </c>
      <c r="C6" s="7" t="s">
        <v>45</v>
      </c>
      <c r="D6" s="7" t="s">
        <v>41</v>
      </c>
      <c r="E6" s="7" t="s">
        <v>33</v>
      </c>
      <c r="F6" s="7" t="s">
        <v>34</v>
      </c>
      <c r="G6" s="7" t="s">
        <v>46</v>
      </c>
      <c r="H6" s="7" t="s">
        <v>47</v>
      </c>
      <c r="I6" s="7" t="s">
        <v>41</v>
      </c>
      <c r="J6" s="7" t="s">
        <v>37</v>
      </c>
      <c r="K6" s="7" t="s">
        <v>28</v>
      </c>
      <c r="L6" s="7" t="s">
        <v>48</v>
      </c>
      <c r="M6" s="7" t="s">
        <v>49</v>
      </c>
      <c r="N6" s="8">
        <v>107000</v>
      </c>
      <c r="O6" s="7">
        <v>78</v>
      </c>
      <c r="Q6" s="47"/>
      <c r="R6" s="47"/>
      <c r="S6" s="47"/>
      <c r="T6" s="47"/>
      <c r="U6" s="47"/>
    </row>
    <row r="7" spans="2:21" x14ac:dyDescent="0.4">
      <c r="B7" s="6">
        <v>5</v>
      </c>
      <c r="C7" s="7" t="s">
        <v>50</v>
      </c>
      <c r="D7" s="7" t="s">
        <v>51</v>
      </c>
      <c r="E7" s="7" t="s">
        <v>33</v>
      </c>
      <c r="F7" s="7" t="s">
        <v>34</v>
      </c>
      <c r="G7" s="7" t="s">
        <v>52</v>
      </c>
      <c r="H7" s="7" t="s">
        <v>53</v>
      </c>
      <c r="I7" s="7" t="s">
        <v>51</v>
      </c>
      <c r="J7" s="7" t="s">
        <v>37</v>
      </c>
      <c r="K7" s="7" t="s">
        <v>28</v>
      </c>
      <c r="L7" s="7" t="s">
        <v>54</v>
      </c>
      <c r="M7" s="7" t="s">
        <v>55</v>
      </c>
      <c r="N7" s="8">
        <v>106000</v>
      </c>
      <c r="O7" s="7">
        <v>92</v>
      </c>
      <c r="Q7" s="47"/>
      <c r="R7" s="47"/>
      <c r="S7" s="47"/>
      <c r="T7" s="47"/>
      <c r="U7" s="47"/>
    </row>
    <row r="8" spans="2:21" x14ac:dyDescent="0.4">
      <c r="B8" s="6">
        <v>6</v>
      </c>
      <c r="C8" s="7" t="s">
        <v>56</v>
      </c>
      <c r="D8" s="7" t="s">
        <v>41</v>
      </c>
      <c r="E8" s="7" t="s">
        <v>33</v>
      </c>
      <c r="F8" s="7" t="s">
        <v>34</v>
      </c>
      <c r="G8" s="7" t="s">
        <v>42</v>
      </c>
      <c r="H8" s="7" t="s">
        <v>57</v>
      </c>
      <c r="I8" s="7" t="s">
        <v>41</v>
      </c>
      <c r="J8" s="7" t="s">
        <v>37</v>
      </c>
      <c r="K8" s="7" t="s">
        <v>28</v>
      </c>
      <c r="L8" s="7" t="s">
        <v>58</v>
      </c>
      <c r="M8" s="7" t="s">
        <v>59</v>
      </c>
      <c r="N8" s="8">
        <v>104000</v>
      </c>
      <c r="O8" s="7">
        <v>67</v>
      </c>
    </row>
    <row r="9" spans="2:21" ht="16" customHeight="1" x14ac:dyDescent="0.4">
      <c r="B9" s="6">
        <v>7</v>
      </c>
      <c r="C9" s="7" t="s">
        <v>60</v>
      </c>
      <c r="D9" s="7" t="s">
        <v>61</v>
      </c>
      <c r="E9" s="7" t="s">
        <v>33</v>
      </c>
      <c r="F9" s="7" t="s">
        <v>34</v>
      </c>
      <c r="G9" s="7" t="s">
        <v>62</v>
      </c>
      <c r="H9" s="7" t="s">
        <v>63</v>
      </c>
      <c r="I9" s="7" t="s">
        <v>61</v>
      </c>
      <c r="J9" s="7" t="s">
        <v>37</v>
      </c>
      <c r="K9" s="7" t="s">
        <v>28</v>
      </c>
      <c r="L9" s="7" t="s">
        <v>64</v>
      </c>
      <c r="M9" s="7" t="s">
        <v>65</v>
      </c>
      <c r="N9" s="8">
        <v>94500</v>
      </c>
      <c r="O9" s="7">
        <v>81</v>
      </c>
      <c r="Q9" s="47" t="s">
        <v>514</v>
      </c>
      <c r="R9" s="47"/>
      <c r="S9" s="47"/>
      <c r="T9" s="47"/>
      <c r="U9" s="47"/>
    </row>
    <row r="10" spans="2:21" x14ac:dyDescent="0.4">
      <c r="B10" s="6">
        <v>8</v>
      </c>
      <c r="C10" s="7" t="s">
        <v>66</v>
      </c>
      <c r="D10" s="7" t="s">
        <v>67</v>
      </c>
      <c r="E10" s="7" t="s">
        <v>68</v>
      </c>
      <c r="F10" s="7" t="s">
        <v>34</v>
      </c>
      <c r="G10" s="7" t="s">
        <v>69</v>
      </c>
      <c r="H10" s="7" t="s">
        <v>67</v>
      </c>
      <c r="I10" s="7" t="s">
        <v>67</v>
      </c>
      <c r="J10" s="7" t="s">
        <v>37</v>
      </c>
      <c r="K10" s="7" t="s">
        <v>28</v>
      </c>
      <c r="L10" s="7" t="s">
        <v>70</v>
      </c>
      <c r="M10" s="7" t="s">
        <v>71</v>
      </c>
      <c r="N10" s="8">
        <v>93000</v>
      </c>
      <c r="O10" s="7">
        <v>83</v>
      </c>
      <c r="Q10" s="47"/>
      <c r="R10" s="47"/>
      <c r="S10" s="47"/>
      <c r="T10" s="47"/>
      <c r="U10" s="47"/>
    </row>
    <row r="11" spans="2:21" x14ac:dyDescent="0.4">
      <c r="B11" s="6">
        <v>9</v>
      </c>
      <c r="C11" s="7" t="s">
        <v>72</v>
      </c>
      <c r="D11" s="7" t="s">
        <v>73</v>
      </c>
      <c r="E11" s="7" t="s">
        <v>74</v>
      </c>
      <c r="F11" s="7" t="s">
        <v>75</v>
      </c>
      <c r="G11" s="7" t="s">
        <v>76</v>
      </c>
      <c r="H11" s="7" t="s">
        <v>73</v>
      </c>
      <c r="I11" s="7" t="s">
        <v>73</v>
      </c>
      <c r="J11" s="7" t="s">
        <v>27</v>
      </c>
      <c r="K11" s="7" t="s">
        <v>28</v>
      </c>
      <c r="L11" s="7" t="s">
        <v>77</v>
      </c>
      <c r="M11" s="7" t="s">
        <v>78</v>
      </c>
      <c r="N11" s="8">
        <v>83400</v>
      </c>
      <c r="O11" s="7">
        <v>65</v>
      </c>
      <c r="Q11" s="47"/>
      <c r="R11" s="47"/>
      <c r="S11" s="47"/>
      <c r="T11" s="47"/>
      <c r="U11" s="47"/>
    </row>
    <row r="12" spans="2:21" x14ac:dyDescent="0.4">
      <c r="B12" s="6">
        <v>10</v>
      </c>
      <c r="C12" s="7" t="s">
        <v>79</v>
      </c>
      <c r="D12" s="7" t="s">
        <v>41</v>
      </c>
      <c r="E12" s="7" t="s">
        <v>33</v>
      </c>
      <c r="F12" s="7" t="s">
        <v>34</v>
      </c>
      <c r="G12" s="7" t="s">
        <v>80</v>
      </c>
      <c r="H12" s="7" t="s">
        <v>57</v>
      </c>
      <c r="I12" s="7" t="s">
        <v>41</v>
      </c>
      <c r="J12" s="7" t="s">
        <v>37</v>
      </c>
      <c r="K12" s="7" t="s">
        <v>28</v>
      </c>
      <c r="L12" s="7" t="s">
        <v>81</v>
      </c>
      <c r="M12" s="7" t="s">
        <v>82</v>
      </c>
      <c r="N12" s="8">
        <v>80700</v>
      </c>
      <c r="O12" s="7">
        <v>67</v>
      </c>
      <c r="Q12" s="47"/>
      <c r="R12" s="47"/>
      <c r="S12" s="47"/>
      <c r="T12" s="47"/>
      <c r="U12" s="47"/>
    </row>
    <row r="13" spans="2:21" x14ac:dyDescent="0.4">
      <c r="B13" s="6">
        <v>11</v>
      </c>
      <c r="C13" s="7" t="s">
        <v>83</v>
      </c>
      <c r="D13" s="7" t="s">
        <v>22</v>
      </c>
      <c r="E13" s="7" t="s">
        <v>23</v>
      </c>
      <c r="F13" s="7" t="s">
        <v>24</v>
      </c>
      <c r="G13" s="7" t="s">
        <v>25</v>
      </c>
      <c r="H13" s="7" t="s">
        <v>84</v>
      </c>
      <c r="I13" s="7" t="s">
        <v>22</v>
      </c>
      <c r="J13" s="7" t="s">
        <v>27</v>
      </c>
      <c r="K13" s="7" t="s">
        <v>85</v>
      </c>
      <c r="L13" s="7" t="s">
        <v>86</v>
      </c>
      <c r="M13" s="7" t="s">
        <v>87</v>
      </c>
      <c r="N13" s="8">
        <v>80500</v>
      </c>
      <c r="O13" s="7">
        <v>69</v>
      </c>
      <c r="Q13" s="47"/>
      <c r="R13" s="47"/>
      <c r="S13" s="47"/>
      <c r="T13" s="47"/>
      <c r="U13" s="47"/>
    </row>
    <row r="14" spans="2:21" x14ac:dyDescent="0.4">
      <c r="B14" s="6">
        <v>12</v>
      </c>
      <c r="C14" s="7" t="s">
        <v>88</v>
      </c>
      <c r="D14" s="7" t="s">
        <v>41</v>
      </c>
      <c r="E14" s="7" t="s">
        <v>33</v>
      </c>
      <c r="F14" s="7" t="s">
        <v>34</v>
      </c>
      <c r="G14" s="7" t="s">
        <v>89</v>
      </c>
      <c r="H14" s="7" t="s">
        <v>90</v>
      </c>
      <c r="I14" s="7" t="s">
        <v>41</v>
      </c>
      <c r="J14" s="7" t="s">
        <v>37</v>
      </c>
      <c r="K14" s="7" t="s">
        <v>28</v>
      </c>
      <c r="L14" s="7" t="s">
        <v>91</v>
      </c>
      <c r="M14" s="7" t="s">
        <v>49</v>
      </c>
      <c r="N14" s="8">
        <v>79200</v>
      </c>
      <c r="O14" s="7">
        <v>50</v>
      </c>
    </row>
    <row r="15" spans="2:21" x14ac:dyDescent="0.4">
      <c r="B15" s="6">
        <v>13</v>
      </c>
      <c r="C15" s="7" t="s">
        <v>92</v>
      </c>
      <c r="D15" s="7" t="s">
        <v>22</v>
      </c>
      <c r="E15" s="7" t="s">
        <v>93</v>
      </c>
      <c r="F15" s="7" t="s">
        <v>24</v>
      </c>
      <c r="G15" s="7" t="s">
        <v>94</v>
      </c>
      <c r="H15" s="7" t="s">
        <v>95</v>
      </c>
      <c r="I15" s="7" t="s">
        <v>22</v>
      </c>
      <c r="J15" s="7" t="s">
        <v>37</v>
      </c>
      <c r="K15" s="7" t="s">
        <v>28</v>
      </c>
      <c r="L15" s="7" t="s">
        <v>96</v>
      </c>
      <c r="M15" s="7" t="s">
        <v>97</v>
      </c>
      <c r="N15" s="8">
        <v>77300</v>
      </c>
      <c r="O15" s="7">
        <v>87</v>
      </c>
    </row>
    <row r="16" spans="2:21" x14ac:dyDescent="0.4">
      <c r="B16" s="6">
        <v>14</v>
      </c>
      <c r="C16" s="7" t="s">
        <v>98</v>
      </c>
      <c r="D16" s="7" t="s">
        <v>41</v>
      </c>
      <c r="E16" s="7" t="s">
        <v>33</v>
      </c>
      <c r="F16" s="7" t="s">
        <v>34</v>
      </c>
      <c r="G16" s="7" t="s">
        <v>99</v>
      </c>
      <c r="H16" s="7" t="s">
        <v>90</v>
      </c>
      <c r="I16" s="7" t="s">
        <v>41</v>
      </c>
      <c r="J16" s="7" t="s">
        <v>37</v>
      </c>
      <c r="K16" s="7" t="s">
        <v>28</v>
      </c>
      <c r="L16" s="7" t="s">
        <v>100</v>
      </c>
      <c r="M16" s="7" t="s">
        <v>101</v>
      </c>
      <c r="N16" s="8">
        <v>76000</v>
      </c>
      <c r="O16" s="7">
        <v>49</v>
      </c>
    </row>
    <row r="17" spans="2:15" x14ac:dyDescent="0.4">
      <c r="B17" s="6">
        <v>15</v>
      </c>
      <c r="C17" s="7" t="s">
        <v>102</v>
      </c>
      <c r="D17" s="7" t="s">
        <v>103</v>
      </c>
      <c r="E17" s="7" t="s">
        <v>104</v>
      </c>
      <c r="F17" s="7" t="s">
        <v>75</v>
      </c>
      <c r="G17" s="7" t="s">
        <v>105</v>
      </c>
      <c r="H17" s="7" t="s">
        <v>106</v>
      </c>
      <c r="I17" s="7" t="s">
        <v>103</v>
      </c>
      <c r="J17" s="7" t="s">
        <v>37</v>
      </c>
      <c r="K17" s="7" t="s">
        <v>28</v>
      </c>
      <c r="L17" s="7" t="s">
        <v>107</v>
      </c>
      <c r="M17" s="7" t="s">
        <v>108</v>
      </c>
      <c r="N17" s="8">
        <v>68000</v>
      </c>
      <c r="O17" s="7">
        <v>68</v>
      </c>
    </row>
    <row r="18" spans="2:15" x14ac:dyDescent="0.4">
      <c r="B18" s="6">
        <v>16</v>
      </c>
      <c r="C18" s="7" t="s">
        <v>109</v>
      </c>
      <c r="D18" s="7" t="s">
        <v>41</v>
      </c>
      <c r="E18" s="7" t="s">
        <v>33</v>
      </c>
      <c r="F18" s="7" t="s">
        <v>34</v>
      </c>
      <c r="G18" s="7" t="s">
        <v>89</v>
      </c>
      <c r="H18" s="7" t="s">
        <v>110</v>
      </c>
      <c r="I18" s="7" t="s">
        <v>41</v>
      </c>
      <c r="J18" s="7" t="s">
        <v>37</v>
      </c>
      <c r="K18" s="7" t="s">
        <v>28</v>
      </c>
      <c r="L18" s="7" t="s">
        <v>111</v>
      </c>
      <c r="M18" s="7" t="s">
        <v>112</v>
      </c>
      <c r="N18" s="8">
        <v>64400</v>
      </c>
      <c r="O18" s="7">
        <v>38</v>
      </c>
    </row>
    <row r="19" spans="2:15" x14ac:dyDescent="0.4">
      <c r="B19" s="6">
        <v>17</v>
      </c>
      <c r="C19" s="7" t="s">
        <v>113</v>
      </c>
      <c r="D19" s="7" t="s">
        <v>73</v>
      </c>
      <c r="E19" s="7" t="s">
        <v>33</v>
      </c>
      <c r="F19" s="7" t="s">
        <v>34</v>
      </c>
      <c r="G19" s="7" t="s">
        <v>114</v>
      </c>
      <c r="H19" s="7" t="s">
        <v>115</v>
      </c>
      <c r="I19" s="7" t="s">
        <v>73</v>
      </c>
      <c r="J19" s="7" t="s">
        <v>27</v>
      </c>
      <c r="K19" s="7" t="s">
        <v>28</v>
      </c>
      <c r="L19" s="7" t="s">
        <v>116</v>
      </c>
      <c r="M19" s="7" t="s">
        <v>117</v>
      </c>
      <c r="N19" s="8">
        <v>59000</v>
      </c>
      <c r="O19" s="7">
        <v>87</v>
      </c>
    </row>
    <row r="20" spans="2:15" x14ac:dyDescent="0.4">
      <c r="B20" s="6">
        <v>17</v>
      </c>
      <c r="C20" s="7" t="s">
        <v>118</v>
      </c>
      <c r="D20" s="7" t="s">
        <v>73</v>
      </c>
      <c r="E20" s="7" t="s">
        <v>33</v>
      </c>
      <c r="F20" s="7" t="s">
        <v>34</v>
      </c>
      <c r="G20" s="7" t="s">
        <v>62</v>
      </c>
      <c r="H20" s="7" t="s">
        <v>115</v>
      </c>
      <c r="I20" s="7" t="s">
        <v>73</v>
      </c>
      <c r="J20" s="7" t="s">
        <v>27</v>
      </c>
      <c r="K20" s="7" t="s">
        <v>85</v>
      </c>
      <c r="L20" s="7" t="s">
        <v>116</v>
      </c>
      <c r="M20" s="7" t="s">
        <v>119</v>
      </c>
      <c r="N20" s="8">
        <v>59000</v>
      </c>
      <c r="O20" s="7">
        <v>60</v>
      </c>
    </row>
    <row r="21" spans="2:15" x14ac:dyDescent="0.4">
      <c r="B21" s="6">
        <v>19</v>
      </c>
      <c r="C21" s="7" t="s">
        <v>120</v>
      </c>
      <c r="D21" s="7" t="s">
        <v>22</v>
      </c>
      <c r="E21" s="7" t="s">
        <v>33</v>
      </c>
      <c r="F21" s="7" t="s">
        <v>34</v>
      </c>
      <c r="G21" s="7" t="s">
        <v>121</v>
      </c>
      <c r="H21" s="7" t="s">
        <v>2</v>
      </c>
      <c r="I21" s="7" t="s">
        <v>22</v>
      </c>
      <c r="J21" s="7" t="s">
        <v>27</v>
      </c>
      <c r="K21" s="7" t="s">
        <v>28</v>
      </c>
      <c r="L21" s="7" t="s">
        <v>122</v>
      </c>
      <c r="M21" s="7" t="s">
        <v>123</v>
      </c>
      <c r="N21" s="8">
        <v>58800</v>
      </c>
      <c r="O21" s="7">
        <v>74</v>
      </c>
    </row>
    <row r="22" spans="2:15" x14ac:dyDescent="0.4">
      <c r="B22" s="6">
        <v>20</v>
      </c>
      <c r="C22" s="7" t="s">
        <v>124</v>
      </c>
      <c r="D22" s="7" t="s">
        <v>22</v>
      </c>
      <c r="E22" s="7" t="s">
        <v>33</v>
      </c>
      <c r="F22" s="7" t="s">
        <v>34</v>
      </c>
      <c r="G22" s="7" t="s">
        <v>121</v>
      </c>
      <c r="H22" s="7" t="s">
        <v>2</v>
      </c>
      <c r="I22" s="7" t="s">
        <v>22</v>
      </c>
      <c r="J22" s="7" t="s">
        <v>27</v>
      </c>
      <c r="K22" s="7" t="s">
        <v>28</v>
      </c>
      <c r="L22" s="7" t="s">
        <v>122</v>
      </c>
      <c r="M22" s="7" t="s">
        <v>125</v>
      </c>
      <c r="N22" s="8">
        <v>57600</v>
      </c>
      <c r="O22" s="7">
        <v>78</v>
      </c>
    </row>
    <row r="23" spans="2:15" x14ac:dyDescent="0.4">
      <c r="B23" s="6">
        <v>21</v>
      </c>
      <c r="C23" s="7" t="s">
        <v>126</v>
      </c>
      <c r="D23" s="7" t="s">
        <v>22</v>
      </c>
      <c r="E23" s="7" t="s">
        <v>33</v>
      </c>
      <c r="F23" s="7" t="s">
        <v>34</v>
      </c>
      <c r="G23" s="7" t="s">
        <v>127</v>
      </c>
      <c r="H23" s="7" t="s">
        <v>2</v>
      </c>
      <c r="I23" s="7" t="s">
        <v>22</v>
      </c>
      <c r="J23" s="7" t="s">
        <v>27</v>
      </c>
      <c r="K23" s="7" t="s">
        <v>85</v>
      </c>
      <c r="L23" s="7" t="s">
        <v>122</v>
      </c>
      <c r="M23" s="7" t="s">
        <v>8</v>
      </c>
      <c r="N23" s="8">
        <v>56700</v>
      </c>
      <c r="O23" s="7">
        <v>73</v>
      </c>
    </row>
    <row r="24" spans="2:15" x14ac:dyDescent="0.4">
      <c r="B24" s="6">
        <v>22</v>
      </c>
      <c r="C24" s="7" t="s">
        <v>128</v>
      </c>
      <c r="D24" s="7" t="s">
        <v>61</v>
      </c>
      <c r="E24" s="7" t="s">
        <v>129</v>
      </c>
      <c r="F24" s="7" t="s">
        <v>34</v>
      </c>
      <c r="G24" s="7" t="s">
        <v>130</v>
      </c>
      <c r="H24" s="7" t="s">
        <v>61</v>
      </c>
      <c r="I24" s="7" t="s">
        <v>61</v>
      </c>
      <c r="J24" s="7" t="s">
        <v>27</v>
      </c>
      <c r="K24" s="7" t="s">
        <v>28</v>
      </c>
      <c r="L24" s="7" t="s">
        <v>131</v>
      </c>
      <c r="M24" s="7" t="s">
        <v>132</v>
      </c>
      <c r="N24" s="8">
        <v>54400</v>
      </c>
      <c r="O24" s="7">
        <v>65</v>
      </c>
    </row>
    <row r="25" spans="2:15" x14ac:dyDescent="0.4">
      <c r="B25" s="6">
        <v>23</v>
      </c>
      <c r="C25" s="7" t="s">
        <v>133</v>
      </c>
      <c r="D25" s="7" t="s">
        <v>41</v>
      </c>
      <c r="E25" s="7" t="s">
        <v>33</v>
      </c>
      <c r="F25" s="7" t="s">
        <v>34</v>
      </c>
      <c r="G25" s="7" t="s">
        <v>35</v>
      </c>
      <c r="H25" s="7" t="s">
        <v>134</v>
      </c>
      <c r="I25" s="7" t="s">
        <v>41</v>
      </c>
      <c r="J25" s="7" t="s">
        <v>37</v>
      </c>
      <c r="K25" s="7" t="s">
        <v>28</v>
      </c>
      <c r="L25" s="7" t="s">
        <v>135</v>
      </c>
      <c r="M25" s="7" t="s">
        <v>65</v>
      </c>
      <c r="N25" s="8">
        <v>50100</v>
      </c>
      <c r="O25" s="7">
        <v>58</v>
      </c>
    </row>
    <row r="26" spans="2:15" x14ac:dyDescent="0.4">
      <c r="B26" s="6">
        <v>24</v>
      </c>
      <c r="C26" s="7" t="s">
        <v>136</v>
      </c>
      <c r="D26" s="7" t="s">
        <v>73</v>
      </c>
      <c r="E26" s="7" t="s">
        <v>74</v>
      </c>
      <c r="F26" s="7" t="s">
        <v>75</v>
      </c>
      <c r="G26" s="7" t="s">
        <v>137</v>
      </c>
      <c r="H26" s="7" t="s">
        <v>138</v>
      </c>
      <c r="I26" s="7" t="s">
        <v>73</v>
      </c>
      <c r="J26" s="7" t="s">
        <v>37</v>
      </c>
      <c r="K26" s="7" t="s">
        <v>28</v>
      </c>
      <c r="L26" s="7" t="s">
        <v>139</v>
      </c>
      <c r="M26" s="7" t="s">
        <v>140</v>
      </c>
      <c r="N26" s="8">
        <v>47200</v>
      </c>
      <c r="O26" s="7">
        <v>60</v>
      </c>
    </row>
    <row r="27" spans="2:15" x14ac:dyDescent="0.4">
      <c r="B27" s="6">
        <v>25</v>
      </c>
      <c r="C27" s="7" t="s">
        <v>141</v>
      </c>
      <c r="D27" s="7" t="s">
        <v>22</v>
      </c>
      <c r="E27" s="7" t="s">
        <v>33</v>
      </c>
      <c r="F27" s="7" t="s">
        <v>34</v>
      </c>
      <c r="G27" s="7" t="s">
        <v>142</v>
      </c>
      <c r="H27" s="7" t="s">
        <v>1</v>
      </c>
      <c r="I27" s="7" t="s">
        <v>22</v>
      </c>
      <c r="J27" s="7" t="s">
        <v>37</v>
      </c>
      <c r="K27" s="7" t="s">
        <v>28</v>
      </c>
      <c r="L27" s="7" t="s">
        <v>143</v>
      </c>
      <c r="M27" s="7" t="s">
        <v>144</v>
      </c>
      <c r="N27" s="8">
        <v>45100</v>
      </c>
      <c r="O27" s="7">
        <v>85</v>
      </c>
    </row>
    <row r="28" spans="2:15" x14ac:dyDescent="0.4">
      <c r="B28" s="6">
        <v>26</v>
      </c>
      <c r="C28" s="7" t="s">
        <v>145</v>
      </c>
      <c r="D28" s="7" t="s">
        <v>41</v>
      </c>
      <c r="E28" s="7" t="s">
        <v>104</v>
      </c>
      <c r="F28" s="7" t="s">
        <v>75</v>
      </c>
      <c r="G28" s="7" t="s">
        <v>146</v>
      </c>
      <c r="H28" s="7" t="s">
        <v>147</v>
      </c>
      <c r="I28" s="7" t="s">
        <v>41</v>
      </c>
      <c r="J28" s="7" t="s">
        <v>37</v>
      </c>
      <c r="K28" s="7" t="s">
        <v>28</v>
      </c>
      <c r="L28" s="7" t="s">
        <v>148</v>
      </c>
      <c r="M28" s="7" t="s">
        <v>149</v>
      </c>
      <c r="N28" s="8">
        <v>45000</v>
      </c>
      <c r="O28" s="7">
        <v>39</v>
      </c>
    </row>
    <row r="29" spans="2:15" x14ac:dyDescent="0.4">
      <c r="B29" s="6">
        <v>27</v>
      </c>
      <c r="C29" s="7" t="s">
        <v>150</v>
      </c>
      <c r="D29" s="7" t="s">
        <v>22</v>
      </c>
      <c r="E29" s="7" t="s">
        <v>151</v>
      </c>
      <c r="F29" s="7" t="s">
        <v>24</v>
      </c>
      <c r="G29" s="7" t="s">
        <v>152</v>
      </c>
      <c r="H29" s="7" t="s">
        <v>153</v>
      </c>
      <c r="I29" s="7" t="s">
        <v>22</v>
      </c>
      <c r="J29" s="7" t="s">
        <v>27</v>
      </c>
      <c r="K29" s="7" t="s">
        <v>28</v>
      </c>
      <c r="L29" s="7" t="s">
        <v>154</v>
      </c>
      <c r="M29" s="7" t="s">
        <v>155</v>
      </c>
      <c r="N29" s="8">
        <v>42900</v>
      </c>
      <c r="O29" s="7">
        <v>83</v>
      </c>
    </row>
    <row r="30" spans="2:15" x14ac:dyDescent="0.4">
      <c r="B30" s="6">
        <v>28</v>
      </c>
      <c r="C30" s="7" t="s">
        <v>156</v>
      </c>
      <c r="D30" s="7" t="s">
        <v>22</v>
      </c>
      <c r="E30" s="7" t="s">
        <v>23</v>
      </c>
      <c r="F30" s="7" t="s">
        <v>24</v>
      </c>
      <c r="G30" s="7" t="s">
        <v>25</v>
      </c>
      <c r="H30" s="7" t="s">
        <v>157</v>
      </c>
      <c r="I30" s="7" t="s">
        <v>22</v>
      </c>
      <c r="J30" s="7" t="s">
        <v>37</v>
      </c>
      <c r="K30" s="7" t="s">
        <v>28</v>
      </c>
      <c r="L30" s="7" t="s">
        <v>158</v>
      </c>
      <c r="M30" s="7" t="s">
        <v>159</v>
      </c>
      <c r="N30" s="8">
        <v>40100</v>
      </c>
      <c r="O30" s="7">
        <v>86</v>
      </c>
    </row>
    <row r="31" spans="2:15" x14ac:dyDescent="0.4">
      <c r="B31" s="6">
        <v>29</v>
      </c>
      <c r="C31" s="7" t="s">
        <v>160</v>
      </c>
      <c r="D31" s="7" t="s">
        <v>161</v>
      </c>
      <c r="E31" s="7" t="s">
        <v>162</v>
      </c>
      <c r="F31" s="7" t="s">
        <v>24</v>
      </c>
      <c r="G31" s="7" t="s">
        <v>163</v>
      </c>
      <c r="H31" s="7" t="s">
        <v>164</v>
      </c>
      <c r="I31" s="7" t="s">
        <v>161</v>
      </c>
      <c r="J31" s="7" t="s">
        <v>27</v>
      </c>
      <c r="K31" s="7" t="s">
        <v>28</v>
      </c>
      <c r="L31" s="7" t="s">
        <v>165</v>
      </c>
      <c r="M31" s="7" t="s">
        <v>166</v>
      </c>
      <c r="N31" s="8">
        <v>39100</v>
      </c>
      <c r="O31" s="7">
        <v>85</v>
      </c>
    </row>
    <row r="32" spans="2:15" x14ac:dyDescent="0.4">
      <c r="B32" s="6">
        <v>30</v>
      </c>
      <c r="C32" s="7" t="s">
        <v>167</v>
      </c>
      <c r="D32" s="7" t="s">
        <v>103</v>
      </c>
      <c r="E32" s="7" t="s">
        <v>168</v>
      </c>
      <c r="F32" s="7" t="s">
        <v>24</v>
      </c>
      <c r="G32" s="7" t="s">
        <v>169</v>
      </c>
      <c r="H32" s="7" t="s">
        <v>170</v>
      </c>
      <c r="I32" s="7" t="s">
        <v>103</v>
      </c>
      <c r="J32" s="7" t="s">
        <v>27</v>
      </c>
      <c r="K32" s="7" t="s">
        <v>28</v>
      </c>
      <c r="L32" s="7" t="s">
        <v>171</v>
      </c>
      <c r="M32" s="7" t="s">
        <v>172</v>
      </c>
      <c r="N32" s="8">
        <v>38900</v>
      </c>
      <c r="O32" s="7">
        <v>58</v>
      </c>
    </row>
    <row r="33" spans="2:15" x14ac:dyDescent="0.4">
      <c r="B33" s="6">
        <v>31</v>
      </c>
      <c r="C33" s="7" t="s">
        <v>173</v>
      </c>
      <c r="D33" s="7" t="s">
        <v>103</v>
      </c>
      <c r="E33" s="7" t="s">
        <v>33</v>
      </c>
      <c r="F33" s="7" t="s">
        <v>34</v>
      </c>
      <c r="G33" s="7" t="s">
        <v>174</v>
      </c>
      <c r="H33" s="7" t="s">
        <v>175</v>
      </c>
      <c r="I33" s="7" t="s">
        <v>103</v>
      </c>
      <c r="J33" s="7" t="s">
        <v>27</v>
      </c>
      <c r="K33" s="7" t="s">
        <v>85</v>
      </c>
      <c r="L33" s="7" t="s">
        <v>176</v>
      </c>
      <c r="M33" s="7" t="s">
        <v>177</v>
      </c>
      <c r="N33" s="8">
        <v>38300</v>
      </c>
      <c r="O33" s="7">
        <v>83</v>
      </c>
    </row>
    <row r="34" spans="2:15" x14ac:dyDescent="0.4">
      <c r="B34" s="6">
        <v>31</v>
      </c>
      <c r="C34" s="7" t="s">
        <v>178</v>
      </c>
      <c r="D34" s="7" t="s">
        <v>103</v>
      </c>
      <c r="E34" s="7" t="s">
        <v>33</v>
      </c>
      <c r="F34" s="7" t="s">
        <v>34</v>
      </c>
      <c r="G34" s="7" t="s">
        <v>179</v>
      </c>
      <c r="H34" s="7" t="s">
        <v>175</v>
      </c>
      <c r="I34" s="7" t="s">
        <v>103</v>
      </c>
      <c r="J34" s="7" t="s">
        <v>27</v>
      </c>
      <c r="K34" s="7" t="s">
        <v>28</v>
      </c>
      <c r="L34" s="7" t="s">
        <v>176</v>
      </c>
      <c r="M34" s="7" t="s">
        <v>180</v>
      </c>
      <c r="N34" s="8">
        <v>38300</v>
      </c>
      <c r="O34" s="7">
        <v>87</v>
      </c>
    </row>
    <row r="35" spans="2:15" x14ac:dyDescent="0.4">
      <c r="B35" s="6">
        <v>34</v>
      </c>
      <c r="C35" s="7" t="s">
        <v>181</v>
      </c>
      <c r="D35" s="7" t="s">
        <v>41</v>
      </c>
      <c r="E35" s="7" t="s">
        <v>104</v>
      </c>
      <c r="F35" s="7" t="s">
        <v>75</v>
      </c>
      <c r="G35" s="7" t="s">
        <v>182</v>
      </c>
      <c r="H35" s="7" t="s">
        <v>183</v>
      </c>
      <c r="I35" s="7" t="s">
        <v>41</v>
      </c>
      <c r="J35" s="7" t="s">
        <v>37</v>
      </c>
      <c r="K35" s="7" t="s">
        <v>28</v>
      </c>
      <c r="L35" s="7" t="s">
        <v>184</v>
      </c>
      <c r="M35" s="7" t="s">
        <v>185</v>
      </c>
      <c r="N35" s="8">
        <v>35300</v>
      </c>
      <c r="O35" s="7">
        <v>51</v>
      </c>
    </row>
    <row r="36" spans="2:15" x14ac:dyDescent="0.4">
      <c r="B36" s="6">
        <v>35</v>
      </c>
      <c r="C36" s="7" t="s">
        <v>186</v>
      </c>
      <c r="D36" s="7" t="s">
        <v>187</v>
      </c>
      <c r="E36" s="7" t="s">
        <v>33</v>
      </c>
      <c r="F36" s="7" t="s">
        <v>34</v>
      </c>
      <c r="G36" s="7" t="s">
        <v>188</v>
      </c>
      <c r="H36" s="7" t="s">
        <v>189</v>
      </c>
      <c r="I36" s="7" t="s">
        <v>187</v>
      </c>
      <c r="J36" s="7" t="s">
        <v>27</v>
      </c>
      <c r="K36" s="7" t="s">
        <v>85</v>
      </c>
      <c r="L36" s="7" t="s">
        <v>190</v>
      </c>
      <c r="M36" s="7" t="s">
        <v>191</v>
      </c>
      <c r="N36" s="8">
        <v>35000</v>
      </c>
      <c r="O36" s="7">
        <v>77</v>
      </c>
    </row>
    <row r="37" spans="2:15" x14ac:dyDescent="0.4">
      <c r="B37" s="6">
        <v>35</v>
      </c>
      <c r="C37" s="7" t="s">
        <v>192</v>
      </c>
      <c r="D37" s="7" t="s">
        <v>51</v>
      </c>
      <c r="E37" s="7" t="s">
        <v>33</v>
      </c>
      <c r="F37" s="7" t="s">
        <v>34</v>
      </c>
      <c r="G37" s="7" t="s">
        <v>193</v>
      </c>
      <c r="H37" s="7" t="s">
        <v>194</v>
      </c>
      <c r="I37" s="7" t="s">
        <v>51</v>
      </c>
      <c r="J37" s="7" t="s">
        <v>37</v>
      </c>
      <c r="K37" s="7" t="s">
        <v>28</v>
      </c>
      <c r="L37" s="7" t="s">
        <v>195</v>
      </c>
      <c r="M37" s="7" t="s">
        <v>196</v>
      </c>
      <c r="N37" s="8">
        <v>35000</v>
      </c>
      <c r="O37" s="7">
        <v>54</v>
      </c>
    </row>
    <row r="38" spans="2:15" x14ac:dyDescent="0.4">
      <c r="B38" s="6">
        <v>37</v>
      </c>
      <c r="C38" s="7" t="s">
        <v>197</v>
      </c>
      <c r="D38" s="7" t="s">
        <v>103</v>
      </c>
      <c r="E38" s="7" t="s">
        <v>198</v>
      </c>
      <c r="F38" s="7" t="s">
        <v>24</v>
      </c>
      <c r="G38" s="7" t="s">
        <v>199</v>
      </c>
      <c r="H38" s="7" t="s">
        <v>200</v>
      </c>
      <c r="I38" s="7" t="s">
        <v>103</v>
      </c>
      <c r="J38" s="7" t="s">
        <v>27</v>
      </c>
      <c r="K38" s="7" t="s">
        <v>28</v>
      </c>
      <c r="L38" s="7" t="s">
        <v>201</v>
      </c>
      <c r="M38" s="7" t="s">
        <v>112</v>
      </c>
      <c r="N38" s="8">
        <v>34700</v>
      </c>
      <c r="O38" s="7">
        <v>30</v>
      </c>
    </row>
    <row r="39" spans="2:15" x14ac:dyDescent="0.4">
      <c r="B39" s="6">
        <v>38</v>
      </c>
      <c r="C39" s="7" t="s">
        <v>202</v>
      </c>
      <c r="D39" s="7" t="s">
        <v>32</v>
      </c>
      <c r="E39" s="7" t="s">
        <v>104</v>
      </c>
      <c r="F39" s="7" t="s">
        <v>75</v>
      </c>
      <c r="G39" s="7" t="s">
        <v>203</v>
      </c>
      <c r="H39" s="7" t="s">
        <v>204</v>
      </c>
      <c r="I39" s="7" t="s">
        <v>32</v>
      </c>
      <c r="J39" s="7" t="s">
        <v>37</v>
      </c>
      <c r="K39" s="7" t="s">
        <v>28</v>
      </c>
      <c r="L39" s="7" t="s">
        <v>205</v>
      </c>
      <c r="M39" s="7" t="s">
        <v>206</v>
      </c>
      <c r="N39" s="8">
        <v>33400</v>
      </c>
      <c r="O39" s="7">
        <v>54</v>
      </c>
    </row>
    <row r="40" spans="2:15" x14ac:dyDescent="0.4">
      <c r="B40" s="6">
        <v>39</v>
      </c>
      <c r="C40" s="7" t="s">
        <v>207</v>
      </c>
      <c r="D40" s="7" t="s">
        <v>22</v>
      </c>
      <c r="E40" s="7" t="s">
        <v>208</v>
      </c>
      <c r="F40" s="7" t="s">
        <v>75</v>
      </c>
      <c r="G40" s="7" t="s">
        <v>209</v>
      </c>
      <c r="H40" s="7" t="s">
        <v>210</v>
      </c>
      <c r="I40" s="7" t="s">
        <v>22</v>
      </c>
      <c r="J40" s="7" t="s">
        <v>37</v>
      </c>
      <c r="K40" s="7" t="s">
        <v>28</v>
      </c>
      <c r="L40" s="7" t="s">
        <v>211</v>
      </c>
      <c r="M40" s="7" t="s">
        <v>212</v>
      </c>
      <c r="N40" s="8">
        <v>32600</v>
      </c>
      <c r="O40" s="7">
        <v>74</v>
      </c>
    </row>
    <row r="41" spans="2:15" x14ac:dyDescent="0.4">
      <c r="B41" s="6">
        <v>40</v>
      </c>
      <c r="C41" s="7" t="s">
        <v>213</v>
      </c>
      <c r="D41" s="7" t="s">
        <v>73</v>
      </c>
      <c r="E41" s="7" t="s">
        <v>214</v>
      </c>
      <c r="F41" s="7" t="s">
        <v>24</v>
      </c>
      <c r="G41" s="7" t="s">
        <v>215</v>
      </c>
      <c r="H41" s="7" t="s">
        <v>216</v>
      </c>
      <c r="I41" s="7" t="s">
        <v>73</v>
      </c>
      <c r="J41" s="7" t="s">
        <v>37</v>
      </c>
      <c r="K41" s="7" t="s">
        <v>28</v>
      </c>
      <c r="L41" s="7" t="s">
        <v>217</v>
      </c>
      <c r="M41" s="7" t="s">
        <v>218</v>
      </c>
      <c r="N41" s="8">
        <v>32100</v>
      </c>
      <c r="O41" s="7">
        <v>65</v>
      </c>
    </row>
    <row r="42" spans="2:15" x14ac:dyDescent="0.4">
      <c r="B42" s="6">
        <v>41</v>
      </c>
      <c r="C42" s="7" t="s">
        <v>219</v>
      </c>
      <c r="D42" s="7" t="s">
        <v>22</v>
      </c>
      <c r="E42" s="7" t="s">
        <v>33</v>
      </c>
      <c r="F42" s="7" t="s">
        <v>34</v>
      </c>
      <c r="G42" s="7" t="s">
        <v>62</v>
      </c>
      <c r="H42" s="7" t="s">
        <v>220</v>
      </c>
      <c r="I42" s="7" t="s">
        <v>22</v>
      </c>
      <c r="J42" s="7" t="s">
        <v>27</v>
      </c>
      <c r="K42" s="7" t="s">
        <v>28</v>
      </c>
      <c r="L42" s="7" t="s">
        <v>221</v>
      </c>
      <c r="M42" s="7" t="s">
        <v>222</v>
      </c>
      <c r="N42" s="8">
        <v>31600</v>
      </c>
      <c r="O42" s="7">
        <v>74</v>
      </c>
    </row>
    <row r="43" spans="2:15" x14ac:dyDescent="0.4">
      <c r="B43" s="6">
        <v>41</v>
      </c>
      <c r="C43" s="7" t="s">
        <v>223</v>
      </c>
      <c r="D43" s="7" t="s">
        <v>22</v>
      </c>
      <c r="E43" s="7" t="s">
        <v>33</v>
      </c>
      <c r="F43" s="7" t="s">
        <v>34</v>
      </c>
      <c r="G43" s="7" t="s">
        <v>62</v>
      </c>
      <c r="H43" s="7" t="s">
        <v>220</v>
      </c>
      <c r="I43" s="7" t="s">
        <v>22</v>
      </c>
      <c r="J43" s="7" t="s">
        <v>27</v>
      </c>
      <c r="K43" s="7" t="s">
        <v>28</v>
      </c>
      <c r="L43" s="7" t="s">
        <v>221</v>
      </c>
      <c r="M43" s="7" t="s">
        <v>224</v>
      </c>
      <c r="N43" s="8">
        <v>31600</v>
      </c>
      <c r="O43" s="7">
        <v>72</v>
      </c>
    </row>
    <row r="44" spans="2:15" x14ac:dyDescent="0.4">
      <c r="B44" s="6">
        <v>43</v>
      </c>
      <c r="C44" s="7" t="s">
        <v>225</v>
      </c>
      <c r="D44" s="7" t="s">
        <v>161</v>
      </c>
      <c r="E44" s="7" t="s">
        <v>162</v>
      </c>
      <c r="F44" s="7" t="s">
        <v>24</v>
      </c>
      <c r="G44" s="7" t="s">
        <v>226</v>
      </c>
      <c r="H44" s="7" t="s">
        <v>164</v>
      </c>
      <c r="I44" s="7" t="s">
        <v>161</v>
      </c>
      <c r="J44" s="7" t="s">
        <v>37</v>
      </c>
      <c r="K44" s="7" t="s">
        <v>28</v>
      </c>
      <c r="L44" s="7" t="s">
        <v>227</v>
      </c>
      <c r="M44" s="7" t="s">
        <v>228</v>
      </c>
      <c r="N44" s="8">
        <v>31200</v>
      </c>
      <c r="O44" s="7">
        <v>82</v>
      </c>
    </row>
    <row r="45" spans="2:15" x14ac:dyDescent="0.4">
      <c r="B45" s="6">
        <v>43</v>
      </c>
      <c r="C45" s="7" t="s">
        <v>229</v>
      </c>
      <c r="D45" s="7" t="s">
        <v>161</v>
      </c>
      <c r="E45" s="7" t="s">
        <v>162</v>
      </c>
      <c r="F45" s="7" t="s">
        <v>24</v>
      </c>
      <c r="G45" s="7" t="s">
        <v>226</v>
      </c>
      <c r="H45" s="7" t="s">
        <v>164</v>
      </c>
      <c r="I45" s="7" t="s">
        <v>161</v>
      </c>
      <c r="J45" s="7" t="s">
        <v>37</v>
      </c>
      <c r="K45" s="7" t="s">
        <v>85</v>
      </c>
      <c r="L45" s="7" t="s">
        <v>230</v>
      </c>
      <c r="M45" s="7" t="s">
        <v>231</v>
      </c>
      <c r="N45" s="8">
        <v>31200</v>
      </c>
      <c r="O45" s="7">
        <v>78</v>
      </c>
    </row>
    <row r="46" spans="2:15" x14ac:dyDescent="0.4">
      <c r="B46" s="6">
        <v>45</v>
      </c>
      <c r="C46" s="7" t="s">
        <v>232</v>
      </c>
      <c r="D46" s="7" t="s">
        <v>41</v>
      </c>
      <c r="E46" s="7" t="s">
        <v>104</v>
      </c>
      <c r="F46" s="7" t="s">
        <v>75</v>
      </c>
      <c r="G46" s="7" t="s">
        <v>233</v>
      </c>
      <c r="H46" s="7" t="s">
        <v>234</v>
      </c>
      <c r="I46" s="7" t="s">
        <v>41</v>
      </c>
      <c r="J46" s="7" t="s">
        <v>37</v>
      </c>
      <c r="K46" s="7" t="s">
        <v>28</v>
      </c>
      <c r="L46" s="7" t="s">
        <v>235</v>
      </c>
      <c r="M46" s="7" t="s">
        <v>236</v>
      </c>
      <c r="N46" s="8">
        <v>30200</v>
      </c>
      <c r="O46" s="7">
        <v>43</v>
      </c>
    </row>
    <row r="47" spans="2:15" x14ac:dyDescent="0.4">
      <c r="B47" s="6">
        <v>46</v>
      </c>
      <c r="C47" s="7" t="s">
        <v>237</v>
      </c>
      <c r="D47" s="7" t="s">
        <v>238</v>
      </c>
      <c r="E47" s="7" t="s">
        <v>151</v>
      </c>
      <c r="F47" s="7" t="s">
        <v>24</v>
      </c>
      <c r="G47" s="7" t="s">
        <v>239</v>
      </c>
      <c r="H47" s="7" t="s">
        <v>240</v>
      </c>
      <c r="I47" s="7" t="s">
        <v>238</v>
      </c>
      <c r="J47" s="7" t="s">
        <v>37</v>
      </c>
      <c r="K47" s="7" t="s">
        <v>28</v>
      </c>
      <c r="L47" s="7" t="s">
        <v>241</v>
      </c>
      <c r="M47" s="7" t="s">
        <v>242</v>
      </c>
      <c r="N47" s="8">
        <v>29700</v>
      </c>
      <c r="O47" s="7">
        <v>87</v>
      </c>
    </row>
    <row r="48" spans="2:15" x14ac:dyDescent="0.4">
      <c r="B48" s="6">
        <v>48</v>
      </c>
      <c r="C48" s="7" t="s">
        <v>243</v>
      </c>
      <c r="D48" s="7" t="s">
        <v>51</v>
      </c>
      <c r="E48" s="7" t="s">
        <v>33</v>
      </c>
      <c r="F48" s="7" t="s">
        <v>34</v>
      </c>
      <c r="G48" s="7" t="s">
        <v>244</v>
      </c>
      <c r="H48" s="7" t="s">
        <v>245</v>
      </c>
      <c r="I48" s="7" t="s">
        <v>51</v>
      </c>
      <c r="J48" s="7" t="s">
        <v>37</v>
      </c>
      <c r="K48" s="7" t="s">
        <v>28</v>
      </c>
      <c r="L48" s="7" t="s">
        <v>246</v>
      </c>
      <c r="M48" s="7" t="s">
        <v>44</v>
      </c>
      <c r="N48" s="8">
        <v>28500</v>
      </c>
      <c r="O48" s="7">
        <v>64</v>
      </c>
    </row>
    <row r="49" spans="2:15" x14ac:dyDescent="0.4">
      <c r="B49" s="6">
        <v>49</v>
      </c>
      <c r="C49" s="7" t="s">
        <v>247</v>
      </c>
      <c r="D49" s="7" t="s">
        <v>51</v>
      </c>
      <c r="E49" s="7" t="s">
        <v>33</v>
      </c>
      <c r="F49" s="7" t="s">
        <v>34</v>
      </c>
      <c r="G49" s="7" t="s">
        <v>248</v>
      </c>
      <c r="H49" s="7" t="s">
        <v>194</v>
      </c>
      <c r="I49" s="7" t="s">
        <v>51</v>
      </c>
      <c r="J49" s="7" t="s">
        <v>37</v>
      </c>
      <c r="K49" s="7" t="s">
        <v>28</v>
      </c>
      <c r="L49" s="7" t="s">
        <v>249</v>
      </c>
      <c r="M49" s="7" t="s">
        <v>123</v>
      </c>
      <c r="N49" s="8">
        <v>28100</v>
      </c>
      <c r="O49" s="7">
        <v>84</v>
      </c>
    </row>
    <row r="50" spans="2:15" x14ac:dyDescent="0.4">
      <c r="B50" s="6">
        <v>50</v>
      </c>
      <c r="C50" s="7" t="s">
        <v>250</v>
      </c>
      <c r="D50" s="7" t="s">
        <v>51</v>
      </c>
      <c r="E50" s="7" t="s">
        <v>33</v>
      </c>
      <c r="F50" s="7" t="s">
        <v>34</v>
      </c>
      <c r="G50" s="7" t="s">
        <v>62</v>
      </c>
      <c r="H50" s="7" t="s">
        <v>251</v>
      </c>
      <c r="I50" s="7" t="s">
        <v>51</v>
      </c>
      <c r="J50" s="7" t="s">
        <v>37</v>
      </c>
      <c r="K50" s="7" t="s">
        <v>28</v>
      </c>
      <c r="L50" s="7" t="s">
        <v>252</v>
      </c>
      <c r="M50" s="7" t="s">
        <v>253</v>
      </c>
      <c r="N50" s="8">
        <v>27800</v>
      </c>
      <c r="O50" s="7">
        <v>76</v>
      </c>
    </row>
    <row r="51" spans="2:15" x14ac:dyDescent="0.4">
      <c r="B51" s="6">
        <v>51</v>
      </c>
      <c r="C51" s="7" t="s">
        <v>254</v>
      </c>
      <c r="D51" s="7" t="s">
        <v>32</v>
      </c>
      <c r="E51" s="7" t="s">
        <v>151</v>
      </c>
      <c r="F51" s="7" t="s">
        <v>24</v>
      </c>
      <c r="G51" s="7" t="s">
        <v>255</v>
      </c>
      <c r="H51" s="7" t="s">
        <v>256</v>
      </c>
      <c r="I51" s="7" t="s">
        <v>32</v>
      </c>
      <c r="J51" s="7" t="s">
        <v>27</v>
      </c>
      <c r="K51" s="7" t="s">
        <v>85</v>
      </c>
      <c r="L51" s="7" t="s">
        <v>257</v>
      </c>
      <c r="M51" s="7" t="s">
        <v>258</v>
      </c>
      <c r="N51" s="8">
        <v>27400</v>
      </c>
      <c r="O51" s="7">
        <v>60</v>
      </c>
    </row>
    <row r="52" spans="2:15" x14ac:dyDescent="0.4">
      <c r="B52" s="6">
        <v>52</v>
      </c>
      <c r="C52" s="7" t="s">
        <v>259</v>
      </c>
      <c r="D52" s="7" t="s">
        <v>260</v>
      </c>
      <c r="E52" s="7" t="s">
        <v>6</v>
      </c>
      <c r="F52" s="7" t="s">
        <v>75</v>
      </c>
      <c r="G52" s="7" t="s">
        <v>261</v>
      </c>
      <c r="H52" s="7" t="s">
        <v>262</v>
      </c>
      <c r="I52" s="7" t="s">
        <v>260</v>
      </c>
      <c r="J52" s="7" t="s">
        <v>27</v>
      </c>
      <c r="K52" s="7" t="s">
        <v>85</v>
      </c>
      <c r="L52" s="7" t="s">
        <v>263</v>
      </c>
      <c r="M52" s="7" t="s">
        <v>264</v>
      </c>
      <c r="N52" s="8">
        <v>27000</v>
      </c>
      <c r="O52" s="7">
        <v>69</v>
      </c>
    </row>
    <row r="53" spans="2:15" x14ac:dyDescent="0.4">
      <c r="B53" s="6">
        <v>53</v>
      </c>
      <c r="C53" s="7" t="s">
        <v>265</v>
      </c>
      <c r="D53" s="7" t="s">
        <v>41</v>
      </c>
      <c r="E53" s="7" t="s">
        <v>104</v>
      </c>
      <c r="F53" s="7" t="s">
        <v>75</v>
      </c>
      <c r="G53" s="7" t="s">
        <v>105</v>
      </c>
      <c r="H53" s="7" t="s">
        <v>266</v>
      </c>
      <c r="I53" s="7" t="s">
        <v>41</v>
      </c>
      <c r="J53" s="7" t="s">
        <v>37</v>
      </c>
      <c r="K53" s="7" t="s">
        <v>28</v>
      </c>
      <c r="L53" s="7" t="s">
        <v>267</v>
      </c>
      <c r="M53" s="7" t="s">
        <v>268</v>
      </c>
      <c r="N53" s="8">
        <v>26700</v>
      </c>
      <c r="O53" s="7">
        <v>51</v>
      </c>
    </row>
    <row r="54" spans="2:15" x14ac:dyDescent="0.4">
      <c r="B54" s="6">
        <v>54</v>
      </c>
      <c r="C54" s="7" t="s">
        <v>269</v>
      </c>
      <c r="D54" s="7" t="s">
        <v>260</v>
      </c>
      <c r="E54" s="7" t="s">
        <v>68</v>
      </c>
      <c r="F54" s="7" t="s">
        <v>34</v>
      </c>
      <c r="G54" s="7" t="s">
        <v>69</v>
      </c>
      <c r="H54" s="7" t="s">
        <v>262</v>
      </c>
      <c r="I54" s="7" t="s">
        <v>260</v>
      </c>
      <c r="J54" s="7" t="s">
        <v>27</v>
      </c>
      <c r="K54" s="7" t="s">
        <v>28</v>
      </c>
      <c r="L54" s="7" t="s">
        <v>270</v>
      </c>
      <c r="M54" s="7" t="s">
        <v>271</v>
      </c>
      <c r="N54" s="8">
        <v>26600</v>
      </c>
      <c r="O54" s="7">
        <v>69</v>
      </c>
    </row>
    <row r="55" spans="2:15" x14ac:dyDescent="0.4">
      <c r="B55" s="6">
        <v>55</v>
      </c>
      <c r="C55" s="7" t="s">
        <v>272</v>
      </c>
      <c r="D55" s="7" t="s">
        <v>41</v>
      </c>
      <c r="E55" s="7" t="s">
        <v>74</v>
      </c>
      <c r="F55" s="7" t="s">
        <v>75</v>
      </c>
      <c r="G55" s="7" t="s">
        <v>273</v>
      </c>
      <c r="H55" s="7" t="s">
        <v>274</v>
      </c>
      <c r="I55" s="7" t="s">
        <v>41</v>
      </c>
      <c r="J55" s="7" t="s">
        <v>37</v>
      </c>
      <c r="K55" s="7" t="s">
        <v>28</v>
      </c>
      <c r="L55" s="7" t="s">
        <v>275</v>
      </c>
      <c r="M55" s="7" t="s">
        <v>276</v>
      </c>
      <c r="N55" s="8">
        <v>25600</v>
      </c>
      <c r="O55" s="7">
        <v>77</v>
      </c>
    </row>
    <row r="56" spans="2:15" x14ac:dyDescent="0.4">
      <c r="B56" s="6">
        <v>56</v>
      </c>
      <c r="C56" s="7" t="s">
        <v>277</v>
      </c>
      <c r="D56" s="7" t="s">
        <v>278</v>
      </c>
      <c r="E56" s="7" t="s">
        <v>279</v>
      </c>
      <c r="F56" s="7" t="s">
        <v>75</v>
      </c>
      <c r="G56" s="7" t="s">
        <v>280</v>
      </c>
      <c r="H56" s="7" t="s">
        <v>281</v>
      </c>
      <c r="I56" s="7" t="s">
        <v>278</v>
      </c>
      <c r="J56" s="7" t="s">
        <v>37</v>
      </c>
      <c r="K56" s="7" t="s">
        <v>28</v>
      </c>
      <c r="L56" s="7" t="s">
        <v>282</v>
      </c>
      <c r="M56" s="7" t="s">
        <v>283</v>
      </c>
      <c r="N56" s="8">
        <v>25500</v>
      </c>
      <c r="O56" s="7">
        <v>74</v>
      </c>
    </row>
    <row r="57" spans="2:15" x14ac:dyDescent="0.4">
      <c r="B57" s="6">
        <v>57</v>
      </c>
      <c r="C57" s="7" t="s">
        <v>284</v>
      </c>
      <c r="D57" s="7" t="s">
        <v>51</v>
      </c>
      <c r="E57" s="7" t="s">
        <v>33</v>
      </c>
      <c r="F57" s="7" t="s">
        <v>34</v>
      </c>
      <c r="G57" s="7" t="s">
        <v>285</v>
      </c>
      <c r="H57" s="7" t="s">
        <v>286</v>
      </c>
      <c r="I57" s="7" t="s">
        <v>51</v>
      </c>
      <c r="J57" s="7" t="s">
        <v>37</v>
      </c>
      <c r="K57" s="7" t="s">
        <v>28</v>
      </c>
      <c r="L57" s="7" t="s">
        <v>287</v>
      </c>
      <c r="M57" s="7" t="s">
        <v>288</v>
      </c>
      <c r="N57" s="8">
        <v>25300</v>
      </c>
      <c r="O57" s="7">
        <v>78</v>
      </c>
    </row>
    <row r="58" spans="2:15" x14ac:dyDescent="0.4">
      <c r="B58" s="6">
        <v>58</v>
      </c>
      <c r="C58" s="7" t="s">
        <v>289</v>
      </c>
      <c r="D58" s="7" t="s">
        <v>260</v>
      </c>
      <c r="E58" s="7" t="s">
        <v>290</v>
      </c>
      <c r="F58" s="7" t="s">
        <v>24</v>
      </c>
      <c r="G58" s="7" t="s">
        <v>291</v>
      </c>
      <c r="H58" s="7" t="s">
        <v>292</v>
      </c>
      <c r="I58" s="7" t="s">
        <v>260</v>
      </c>
      <c r="J58" s="7" t="s">
        <v>37</v>
      </c>
      <c r="K58" s="7" t="s">
        <v>28</v>
      </c>
      <c r="L58" s="7" t="s">
        <v>293</v>
      </c>
      <c r="M58" s="7" t="s">
        <v>294</v>
      </c>
      <c r="N58" s="8">
        <v>25200</v>
      </c>
      <c r="O58" s="7">
        <v>51</v>
      </c>
    </row>
    <row r="59" spans="2:15" x14ac:dyDescent="0.4">
      <c r="B59" s="6">
        <v>59</v>
      </c>
      <c r="C59" s="7" t="s">
        <v>295</v>
      </c>
      <c r="D59" s="7" t="s">
        <v>32</v>
      </c>
      <c r="E59" s="7" t="s">
        <v>151</v>
      </c>
      <c r="F59" s="7" t="s">
        <v>24</v>
      </c>
      <c r="G59" s="7" t="s">
        <v>296</v>
      </c>
      <c r="H59" s="7" t="s">
        <v>297</v>
      </c>
      <c r="I59" s="7" t="s">
        <v>32</v>
      </c>
      <c r="J59" s="7" t="s">
        <v>27</v>
      </c>
      <c r="K59" s="7" t="s">
        <v>28</v>
      </c>
      <c r="L59" s="7" t="s">
        <v>298</v>
      </c>
      <c r="M59" s="7" t="s">
        <v>299</v>
      </c>
      <c r="N59" s="8">
        <v>24600</v>
      </c>
      <c r="O59" s="7">
        <v>56</v>
      </c>
    </row>
    <row r="60" spans="2:15" x14ac:dyDescent="0.4">
      <c r="B60" s="6">
        <v>60</v>
      </c>
      <c r="C60" s="7" t="s">
        <v>300</v>
      </c>
      <c r="D60" s="7" t="s">
        <v>41</v>
      </c>
      <c r="E60" s="7" t="s">
        <v>33</v>
      </c>
      <c r="F60" s="7" t="s">
        <v>34</v>
      </c>
      <c r="G60" s="7" t="s">
        <v>301</v>
      </c>
      <c r="H60" s="7" t="s">
        <v>0</v>
      </c>
      <c r="I60" s="7" t="s">
        <v>41</v>
      </c>
      <c r="J60" s="7" t="s">
        <v>27</v>
      </c>
      <c r="K60" s="7" t="s">
        <v>85</v>
      </c>
      <c r="L60" s="7" t="s">
        <v>302</v>
      </c>
      <c r="M60" s="7" t="s">
        <v>303</v>
      </c>
      <c r="N60" s="8">
        <v>24400</v>
      </c>
      <c r="O60" s="7">
        <v>52</v>
      </c>
    </row>
    <row r="61" spans="2:15" x14ac:dyDescent="0.4">
      <c r="B61" s="6">
        <v>61</v>
      </c>
      <c r="C61" s="7" t="s">
        <v>304</v>
      </c>
      <c r="D61" s="7" t="s">
        <v>51</v>
      </c>
      <c r="E61" s="7" t="s">
        <v>279</v>
      </c>
      <c r="F61" s="7" t="s">
        <v>75</v>
      </c>
      <c r="G61" s="7" t="s">
        <v>305</v>
      </c>
      <c r="H61" s="7" t="s">
        <v>306</v>
      </c>
      <c r="I61" s="7" t="s">
        <v>51</v>
      </c>
      <c r="J61" s="7" t="s">
        <v>27</v>
      </c>
      <c r="K61" s="7" t="s">
        <v>28</v>
      </c>
      <c r="L61" s="7" t="s">
        <v>307</v>
      </c>
      <c r="M61" s="7" t="s">
        <v>308</v>
      </c>
      <c r="N61" s="8">
        <v>24200</v>
      </c>
      <c r="O61" s="7">
        <v>82</v>
      </c>
    </row>
    <row r="62" spans="2:15" x14ac:dyDescent="0.4">
      <c r="B62" s="6">
        <v>62</v>
      </c>
      <c r="C62" s="7" t="s">
        <v>309</v>
      </c>
      <c r="D62" s="7" t="s">
        <v>260</v>
      </c>
      <c r="E62" s="7" t="s">
        <v>310</v>
      </c>
      <c r="F62" s="7" t="s">
        <v>24</v>
      </c>
      <c r="G62" s="7" t="s">
        <v>311</v>
      </c>
      <c r="H62" s="7" t="s">
        <v>312</v>
      </c>
      <c r="I62" s="7" t="s">
        <v>260</v>
      </c>
      <c r="J62" s="7" t="s">
        <v>37</v>
      </c>
      <c r="K62" s="7" t="s">
        <v>28</v>
      </c>
      <c r="L62" s="7" t="s">
        <v>313</v>
      </c>
      <c r="M62" s="7" t="s">
        <v>314</v>
      </c>
      <c r="N62" s="8">
        <v>23700</v>
      </c>
      <c r="O62" s="7">
        <v>62</v>
      </c>
    </row>
    <row r="63" spans="2:15" x14ac:dyDescent="0.4">
      <c r="B63" s="6">
        <v>63</v>
      </c>
      <c r="C63" s="7" t="s">
        <v>315</v>
      </c>
      <c r="D63" s="7" t="s">
        <v>41</v>
      </c>
      <c r="E63" s="7" t="s">
        <v>104</v>
      </c>
      <c r="F63" s="7" t="s">
        <v>75</v>
      </c>
      <c r="G63" s="7" t="s">
        <v>105</v>
      </c>
      <c r="H63" s="7" t="s">
        <v>234</v>
      </c>
      <c r="I63" s="7" t="s">
        <v>41</v>
      </c>
      <c r="J63" s="7" t="s">
        <v>37</v>
      </c>
      <c r="K63" s="7" t="s">
        <v>28</v>
      </c>
      <c r="L63" s="7" t="s">
        <v>184</v>
      </c>
      <c r="M63" s="7" t="s">
        <v>316</v>
      </c>
      <c r="N63" s="8">
        <v>23500</v>
      </c>
      <c r="O63" s="7">
        <v>58</v>
      </c>
    </row>
    <row r="64" spans="2:15" x14ac:dyDescent="0.4">
      <c r="B64" s="6">
        <v>64</v>
      </c>
      <c r="C64" s="7" t="s">
        <v>317</v>
      </c>
      <c r="D64" s="7" t="s">
        <v>238</v>
      </c>
      <c r="E64" s="7" t="s">
        <v>104</v>
      </c>
      <c r="F64" s="7" t="s">
        <v>75</v>
      </c>
      <c r="G64" s="7" t="s">
        <v>318</v>
      </c>
      <c r="H64" s="7" t="s">
        <v>319</v>
      </c>
      <c r="I64" s="7" t="s">
        <v>238</v>
      </c>
      <c r="J64" s="7" t="s">
        <v>37</v>
      </c>
      <c r="K64" s="7" t="s">
        <v>28</v>
      </c>
      <c r="L64" s="7" t="s">
        <v>320</v>
      </c>
      <c r="M64" s="7" t="s">
        <v>321</v>
      </c>
      <c r="N64" s="8">
        <v>23400</v>
      </c>
      <c r="O64" s="7">
        <v>80</v>
      </c>
    </row>
    <row r="65" spans="2:15" x14ac:dyDescent="0.4">
      <c r="B65" s="6">
        <v>65</v>
      </c>
      <c r="C65" s="7" t="s">
        <v>322</v>
      </c>
      <c r="D65" s="7" t="s">
        <v>260</v>
      </c>
      <c r="E65" s="7" t="s">
        <v>323</v>
      </c>
      <c r="F65" s="7" t="s">
        <v>324</v>
      </c>
      <c r="G65" s="7" t="s">
        <v>325</v>
      </c>
      <c r="H65" s="7" t="s">
        <v>262</v>
      </c>
      <c r="I65" s="7" t="s">
        <v>260</v>
      </c>
      <c r="J65" s="7" t="s">
        <v>27</v>
      </c>
      <c r="K65" s="7" t="s">
        <v>85</v>
      </c>
      <c r="L65" s="7" t="s">
        <v>326</v>
      </c>
      <c r="M65" s="7" t="s">
        <v>327</v>
      </c>
      <c r="N65" s="8">
        <v>23100</v>
      </c>
      <c r="O65" s="7">
        <v>80</v>
      </c>
    </row>
    <row r="66" spans="2:15" x14ac:dyDescent="0.4">
      <c r="B66" s="6">
        <v>65</v>
      </c>
      <c r="C66" s="7" t="s">
        <v>328</v>
      </c>
      <c r="D66" s="7" t="s">
        <v>238</v>
      </c>
      <c r="E66" s="7" t="s">
        <v>279</v>
      </c>
      <c r="F66" s="7" t="s">
        <v>75</v>
      </c>
      <c r="G66" s="7" t="s">
        <v>305</v>
      </c>
      <c r="H66" s="7" t="s">
        <v>306</v>
      </c>
      <c r="I66" s="7" t="s">
        <v>238</v>
      </c>
      <c r="J66" s="7" t="s">
        <v>27</v>
      </c>
      <c r="K66" s="7" t="s">
        <v>28</v>
      </c>
      <c r="L66" s="7" t="s">
        <v>307</v>
      </c>
      <c r="M66" s="7" t="s">
        <v>65</v>
      </c>
      <c r="N66" s="8">
        <v>23100</v>
      </c>
      <c r="O66" s="7">
        <v>83</v>
      </c>
    </row>
    <row r="67" spans="2:15" x14ac:dyDescent="0.4">
      <c r="B67" s="6">
        <v>67</v>
      </c>
      <c r="C67" s="7" t="s">
        <v>329</v>
      </c>
      <c r="D67" s="7" t="s">
        <v>238</v>
      </c>
      <c r="E67" s="7" t="s">
        <v>214</v>
      </c>
      <c r="F67" s="7" t="s">
        <v>24</v>
      </c>
      <c r="G67" s="7" t="s">
        <v>215</v>
      </c>
      <c r="H67" s="7" t="s">
        <v>330</v>
      </c>
      <c r="I67" s="7" t="s">
        <v>238</v>
      </c>
      <c r="J67" s="7" t="s">
        <v>37</v>
      </c>
      <c r="K67" s="7" t="s">
        <v>28</v>
      </c>
      <c r="L67" s="7" t="s">
        <v>331</v>
      </c>
      <c r="M67" s="7" t="s">
        <v>332</v>
      </c>
      <c r="N67" s="8">
        <v>22900</v>
      </c>
      <c r="O67" s="7">
        <v>70</v>
      </c>
    </row>
    <row r="68" spans="2:15" x14ac:dyDescent="0.4">
      <c r="B68" s="6">
        <v>68</v>
      </c>
      <c r="C68" s="7" t="s">
        <v>333</v>
      </c>
      <c r="D68" s="7" t="s">
        <v>334</v>
      </c>
      <c r="E68" s="7" t="s">
        <v>74</v>
      </c>
      <c r="F68" s="7" t="s">
        <v>75</v>
      </c>
      <c r="G68" s="7" t="s">
        <v>335</v>
      </c>
      <c r="H68" s="7" t="s">
        <v>336</v>
      </c>
      <c r="I68" s="7" t="s">
        <v>334</v>
      </c>
      <c r="J68" s="7" t="s">
        <v>27</v>
      </c>
      <c r="K68" s="7" t="s">
        <v>28</v>
      </c>
      <c r="L68" s="7" t="s">
        <v>337</v>
      </c>
      <c r="M68" s="7" t="s">
        <v>338</v>
      </c>
      <c r="N68" s="8">
        <v>22600</v>
      </c>
      <c r="O68" s="7">
        <v>81</v>
      </c>
    </row>
    <row r="69" spans="2:15" x14ac:dyDescent="0.4">
      <c r="B69" s="6">
        <v>69</v>
      </c>
      <c r="C69" s="7" t="s">
        <v>339</v>
      </c>
      <c r="D69" s="7" t="s">
        <v>67</v>
      </c>
      <c r="E69" s="7" t="s">
        <v>208</v>
      </c>
      <c r="F69" s="7" t="s">
        <v>75</v>
      </c>
      <c r="G69" s="7" t="s">
        <v>209</v>
      </c>
      <c r="H69" s="7" t="s">
        <v>340</v>
      </c>
      <c r="I69" s="7" t="s">
        <v>67</v>
      </c>
      <c r="J69" s="7" t="s">
        <v>37</v>
      </c>
      <c r="K69" s="7" t="s">
        <v>28</v>
      </c>
      <c r="L69" s="7" t="s">
        <v>341</v>
      </c>
      <c r="M69" s="7" t="s">
        <v>342</v>
      </c>
      <c r="N69" s="8">
        <v>22400</v>
      </c>
      <c r="O69" s="7">
        <v>65</v>
      </c>
    </row>
    <row r="70" spans="2:15" x14ac:dyDescent="0.4">
      <c r="B70" s="6">
        <v>70</v>
      </c>
      <c r="C70" s="7" t="s">
        <v>343</v>
      </c>
      <c r="D70" s="7" t="s">
        <v>260</v>
      </c>
      <c r="E70" s="7" t="s">
        <v>310</v>
      </c>
      <c r="F70" s="7" t="s">
        <v>24</v>
      </c>
      <c r="G70" s="7" t="s">
        <v>311</v>
      </c>
      <c r="H70" s="7" t="s">
        <v>344</v>
      </c>
      <c r="I70" s="7" t="s">
        <v>260</v>
      </c>
      <c r="J70" s="7" t="s">
        <v>37</v>
      </c>
      <c r="K70" s="7" t="s">
        <v>28</v>
      </c>
      <c r="L70" s="7" t="s">
        <v>345</v>
      </c>
      <c r="M70" s="7" t="s">
        <v>314</v>
      </c>
      <c r="N70" s="8">
        <v>22100</v>
      </c>
      <c r="O70" s="7">
        <v>66</v>
      </c>
    </row>
    <row r="71" spans="2:15" x14ac:dyDescent="0.4">
      <c r="B71" s="6">
        <v>71</v>
      </c>
      <c r="C71" s="7" t="s">
        <v>346</v>
      </c>
      <c r="D71" s="7" t="s">
        <v>103</v>
      </c>
      <c r="E71" s="7" t="s">
        <v>23</v>
      </c>
      <c r="F71" s="7" t="s">
        <v>24</v>
      </c>
      <c r="G71" s="7" t="s">
        <v>347</v>
      </c>
      <c r="H71" s="7" t="s">
        <v>348</v>
      </c>
      <c r="I71" s="7" t="s">
        <v>103</v>
      </c>
      <c r="J71" s="7" t="s">
        <v>27</v>
      </c>
      <c r="K71" s="7" t="s">
        <v>28</v>
      </c>
      <c r="L71" s="7" t="s">
        <v>349</v>
      </c>
      <c r="M71" s="7" t="s">
        <v>350</v>
      </c>
      <c r="N71" s="8">
        <v>22000</v>
      </c>
      <c r="O71" s="7">
        <v>52</v>
      </c>
    </row>
    <row r="72" spans="2:15" x14ac:dyDescent="0.4">
      <c r="B72" s="6">
        <v>72</v>
      </c>
      <c r="C72" s="7" t="s">
        <v>351</v>
      </c>
      <c r="D72" s="7" t="s">
        <v>51</v>
      </c>
      <c r="E72" s="7" t="s">
        <v>33</v>
      </c>
      <c r="F72" s="7" t="s">
        <v>34</v>
      </c>
      <c r="G72" s="7" t="s">
        <v>352</v>
      </c>
      <c r="H72" s="7" t="s">
        <v>353</v>
      </c>
      <c r="I72" s="7" t="s">
        <v>51</v>
      </c>
      <c r="J72" s="7" t="s">
        <v>27</v>
      </c>
      <c r="K72" s="7" t="s">
        <v>85</v>
      </c>
      <c r="L72" s="7" t="s">
        <v>354</v>
      </c>
      <c r="M72" s="7" t="s">
        <v>355</v>
      </c>
      <c r="N72" s="8">
        <v>21600</v>
      </c>
      <c r="O72" s="7">
        <v>61</v>
      </c>
    </row>
    <row r="73" spans="2:15" x14ac:dyDescent="0.4">
      <c r="B73" s="6">
        <v>72</v>
      </c>
      <c r="C73" s="7" t="s">
        <v>356</v>
      </c>
      <c r="D73" s="7" t="s">
        <v>278</v>
      </c>
      <c r="E73" s="7" t="s">
        <v>310</v>
      </c>
      <c r="F73" s="7" t="s">
        <v>24</v>
      </c>
      <c r="G73" s="7" t="s">
        <v>311</v>
      </c>
      <c r="H73" s="7" t="s">
        <v>357</v>
      </c>
      <c r="I73" s="7" t="s">
        <v>278</v>
      </c>
      <c r="J73" s="7" t="s">
        <v>37</v>
      </c>
      <c r="K73" s="7" t="s">
        <v>28</v>
      </c>
      <c r="L73" s="7" t="s">
        <v>358</v>
      </c>
      <c r="M73" s="7" t="s">
        <v>359</v>
      </c>
      <c r="N73" s="8">
        <v>21600</v>
      </c>
      <c r="O73" s="7">
        <v>67</v>
      </c>
    </row>
    <row r="74" spans="2:15" x14ac:dyDescent="0.4">
      <c r="B74" s="6">
        <v>74</v>
      </c>
      <c r="C74" s="7" t="s">
        <v>360</v>
      </c>
      <c r="D74" s="7" t="s">
        <v>22</v>
      </c>
      <c r="E74" s="7" t="s">
        <v>33</v>
      </c>
      <c r="F74" s="7" t="s">
        <v>34</v>
      </c>
      <c r="G74" s="7" t="s">
        <v>361</v>
      </c>
      <c r="H74" s="7" t="s">
        <v>2</v>
      </c>
      <c r="I74" s="7" t="s">
        <v>22</v>
      </c>
      <c r="J74" s="7" t="s">
        <v>27</v>
      </c>
      <c r="K74" s="7" t="s">
        <v>28</v>
      </c>
      <c r="L74" s="7" t="s">
        <v>122</v>
      </c>
      <c r="M74" s="7" t="s">
        <v>362</v>
      </c>
      <c r="N74" s="8">
        <v>21200</v>
      </c>
      <c r="O74" s="7">
        <v>36</v>
      </c>
    </row>
    <row r="75" spans="2:15" x14ac:dyDescent="0.4">
      <c r="B75" s="6">
        <v>74</v>
      </c>
      <c r="C75" s="7" t="s">
        <v>363</v>
      </c>
      <c r="D75" s="7" t="s">
        <v>364</v>
      </c>
      <c r="E75" s="7" t="s">
        <v>104</v>
      </c>
      <c r="F75" s="7" t="s">
        <v>75</v>
      </c>
      <c r="G75" s="7" t="s">
        <v>182</v>
      </c>
      <c r="H75" s="7" t="s">
        <v>365</v>
      </c>
      <c r="I75" s="7" t="s">
        <v>364</v>
      </c>
      <c r="J75" s="7" t="s">
        <v>37</v>
      </c>
      <c r="K75" s="7" t="s">
        <v>28</v>
      </c>
      <c r="L75" s="7" t="s">
        <v>366</v>
      </c>
      <c r="M75" s="7" t="s">
        <v>367</v>
      </c>
      <c r="N75" s="8">
        <v>21200</v>
      </c>
      <c r="O75" s="7">
        <v>52</v>
      </c>
    </row>
    <row r="76" spans="2:15" x14ac:dyDescent="0.4">
      <c r="B76" s="6">
        <v>76</v>
      </c>
      <c r="C76" s="7" t="s">
        <v>368</v>
      </c>
      <c r="D76" s="7" t="s">
        <v>41</v>
      </c>
      <c r="E76" s="7" t="s">
        <v>33</v>
      </c>
      <c r="F76" s="7" t="s">
        <v>34</v>
      </c>
      <c r="G76" s="7" t="s">
        <v>99</v>
      </c>
      <c r="H76" s="7" t="s">
        <v>369</v>
      </c>
      <c r="I76" s="7" t="s">
        <v>41</v>
      </c>
      <c r="J76" s="7" t="s">
        <v>37</v>
      </c>
      <c r="K76" s="7" t="s">
        <v>28</v>
      </c>
      <c r="L76" s="7" t="s">
        <v>235</v>
      </c>
      <c r="M76" s="7" t="s">
        <v>370</v>
      </c>
      <c r="N76" s="8">
        <v>21100</v>
      </c>
      <c r="O76" s="7">
        <v>60</v>
      </c>
    </row>
    <row r="77" spans="2:15" x14ac:dyDescent="0.4">
      <c r="B77" s="6">
        <v>77</v>
      </c>
      <c r="C77" s="7" t="s">
        <v>371</v>
      </c>
      <c r="D77" s="7" t="s">
        <v>22</v>
      </c>
      <c r="E77" s="7" t="s">
        <v>33</v>
      </c>
      <c r="F77" s="7" t="s">
        <v>34</v>
      </c>
      <c r="G77" s="7" t="s">
        <v>62</v>
      </c>
      <c r="H77" s="7" t="s">
        <v>372</v>
      </c>
      <c r="I77" s="7" t="s">
        <v>22</v>
      </c>
      <c r="J77" s="7" t="s">
        <v>27</v>
      </c>
      <c r="K77" s="7" t="s">
        <v>28</v>
      </c>
      <c r="L77" s="7" t="s">
        <v>373</v>
      </c>
      <c r="M77" s="7" t="s">
        <v>374</v>
      </c>
      <c r="N77" s="8">
        <v>21000</v>
      </c>
      <c r="O77" s="7">
        <v>90</v>
      </c>
    </row>
    <row r="78" spans="2:15" x14ac:dyDescent="0.4">
      <c r="B78" s="6">
        <v>77</v>
      </c>
      <c r="C78" s="7" t="s">
        <v>375</v>
      </c>
      <c r="D78" s="7" t="s">
        <v>238</v>
      </c>
      <c r="E78" s="7" t="s">
        <v>208</v>
      </c>
      <c r="F78" s="7" t="s">
        <v>75</v>
      </c>
      <c r="G78" s="7" t="s">
        <v>376</v>
      </c>
      <c r="H78" s="7" t="s">
        <v>377</v>
      </c>
      <c r="I78" s="7" t="s">
        <v>238</v>
      </c>
      <c r="J78" s="7" t="s">
        <v>37</v>
      </c>
      <c r="K78" s="7" t="s">
        <v>28</v>
      </c>
      <c r="L78" s="7" t="s">
        <v>378</v>
      </c>
      <c r="M78" s="7" t="s">
        <v>379</v>
      </c>
      <c r="N78" s="8">
        <v>21000</v>
      </c>
      <c r="O78" s="7">
        <v>77</v>
      </c>
    </row>
    <row r="79" spans="2:15" x14ac:dyDescent="0.4">
      <c r="B79" s="6">
        <v>79</v>
      </c>
      <c r="C79" s="7" t="s">
        <v>380</v>
      </c>
      <c r="D79" s="7" t="s">
        <v>260</v>
      </c>
      <c r="E79" s="7" t="s">
        <v>310</v>
      </c>
      <c r="F79" s="7" t="s">
        <v>24</v>
      </c>
      <c r="G79" s="7" t="s">
        <v>311</v>
      </c>
      <c r="H79" s="7" t="s">
        <v>381</v>
      </c>
      <c r="I79" s="7" t="s">
        <v>260</v>
      </c>
      <c r="J79" s="7" t="s">
        <v>37</v>
      </c>
      <c r="K79" s="7" t="s">
        <v>28</v>
      </c>
      <c r="L79" s="7" t="s">
        <v>382</v>
      </c>
      <c r="M79" s="7" t="s">
        <v>383</v>
      </c>
      <c r="N79" s="8">
        <v>20900</v>
      </c>
      <c r="O79" s="7">
        <v>57</v>
      </c>
    </row>
    <row r="80" spans="2:15" x14ac:dyDescent="0.4">
      <c r="B80" s="6">
        <v>80</v>
      </c>
      <c r="C80" s="7" t="s">
        <v>384</v>
      </c>
      <c r="D80" s="7" t="s">
        <v>278</v>
      </c>
      <c r="E80" s="7" t="s">
        <v>310</v>
      </c>
      <c r="F80" s="7" t="s">
        <v>24</v>
      </c>
      <c r="G80" s="7" t="s">
        <v>311</v>
      </c>
      <c r="H80" s="7" t="s">
        <v>385</v>
      </c>
      <c r="I80" s="7" t="s">
        <v>278</v>
      </c>
      <c r="J80" s="7" t="s">
        <v>37</v>
      </c>
      <c r="K80" s="7" t="s">
        <v>28</v>
      </c>
      <c r="L80" s="7" t="s">
        <v>386</v>
      </c>
      <c r="M80" s="7" t="s">
        <v>387</v>
      </c>
      <c r="N80" s="8">
        <v>20500</v>
      </c>
      <c r="O80" s="7">
        <v>72</v>
      </c>
    </row>
    <row r="81" spans="2:15" x14ac:dyDescent="0.4">
      <c r="B81" s="6">
        <v>81</v>
      </c>
      <c r="C81" s="7" t="s">
        <v>388</v>
      </c>
      <c r="D81" s="7" t="s">
        <v>334</v>
      </c>
      <c r="E81" s="7" t="s">
        <v>33</v>
      </c>
      <c r="F81" s="7" t="s">
        <v>34</v>
      </c>
      <c r="G81" s="7" t="s">
        <v>389</v>
      </c>
      <c r="H81" s="7" t="s">
        <v>390</v>
      </c>
      <c r="I81" s="7" t="s">
        <v>334</v>
      </c>
      <c r="J81" s="7" t="s">
        <v>37</v>
      </c>
      <c r="K81" s="7" t="s">
        <v>28</v>
      </c>
      <c r="L81" s="7" t="s">
        <v>391</v>
      </c>
      <c r="M81" s="7" t="s">
        <v>288</v>
      </c>
      <c r="N81" s="8">
        <v>20200</v>
      </c>
      <c r="O81" s="7">
        <v>84</v>
      </c>
    </row>
    <row r="82" spans="2:15" x14ac:dyDescent="0.4">
      <c r="B82" s="6">
        <v>82</v>
      </c>
      <c r="C82" s="7" t="s">
        <v>392</v>
      </c>
      <c r="D82" s="7" t="s">
        <v>260</v>
      </c>
      <c r="E82" s="7" t="s">
        <v>6</v>
      </c>
      <c r="F82" s="7" t="s">
        <v>75</v>
      </c>
      <c r="G82" s="7" t="s">
        <v>261</v>
      </c>
      <c r="H82" s="7" t="s">
        <v>262</v>
      </c>
      <c r="I82" s="7" t="s">
        <v>260</v>
      </c>
      <c r="J82" s="7" t="s">
        <v>37</v>
      </c>
      <c r="K82" s="7" t="s">
        <v>28</v>
      </c>
      <c r="L82" s="7" t="s">
        <v>393</v>
      </c>
      <c r="M82" s="7" t="s">
        <v>394</v>
      </c>
      <c r="N82" s="8">
        <v>19600</v>
      </c>
      <c r="O82" s="7">
        <v>61</v>
      </c>
    </row>
    <row r="83" spans="2:15" x14ac:dyDescent="0.4">
      <c r="B83" s="6">
        <v>83</v>
      </c>
      <c r="C83" s="7" t="s">
        <v>395</v>
      </c>
      <c r="D83" s="7" t="s">
        <v>51</v>
      </c>
      <c r="E83" s="7" t="s">
        <v>33</v>
      </c>
      <c r="F83" s="7" t="s">
        <v>34</v>
      </c>
      <c r="G83" s="7" t="s">
        <v>396</v>
      </c>
      <c r="H83" s="7" t="s">
        <v>194</v>
      </c>
      <c r="I83" s="7" t="s">
        <v>51</v>
      </c>
      <c r="J83" s="7" t="s">
        <v>37</v>
      </c>
      <c r="K83" s="7" t="s">
        <v>28</v>
      </c>
      <c r="L83" s="7" t="s">
        <v>397</v>
      </c>
      <c r="M83" s="7" t="s">
        <v>398</v>
      </c>
      <c r="N83" s="8">
        <v>19100</v>
      </c>
      <c r="O83" s="7">
        <v>73</v>
      </c>
    </row>
    <row r="84" spans="2:15" x14ac:dyDescent="0.4">
      <c r="B84" s="6">
        <v>84</v>
      </c>
      <c r="C84" s="7" t="s">
        <v>399</v>
      </c>
      <c r="D84" s="7" t="s">
        <v>32</v>
      </c>
      <c r="E84" s="7" t="s">
        <v>104</v>
      </c>
      <c r="F84" s="7" t="s">
        <v>75</v>
      </c>
      <c r="G84" s="7" t="s">
        <v>105</v>
      </c>
      <c r="H84" s="7" t="s">
        <v>400</v>
      </c>
      <c r="I84" s="7" t="s">
        <v>32</v>
      </c>
      <c r="J84" s="7" t="s">
        <v>37</v>
      </c>
      <c r="K84" s="7" t="s">
        <v>28</v>
      </c>
      <c r="L84" s="7" t="s">
        <v>401</v>
      </c>
      <c r="M84" s="7" t="s">
        <v>402</v>
      </c>
      <c r="N84" s="8">
        <v>19000</v>
      </c>
      <c r="O84" s="7">
        <v>59</v>
      </c>
    </row>
    <row r="85" spans="2:15" x14ac:dyDescent="0.4">
      <c r="B85" s="6">
        <v>84</v>
      </c>
      <c r="C85" s="7" t="s">
        <v>403</v>
      </c>
      <c r="D85" s="7" t="s">
        <v>260</v>
      </c>
      <c r="E85" s="7" t="s">
        <v>104</v>
      </c>
      <c r="F85" s="7" t="s">
        <v>75</v>
      </c>
      <c r="G85" s="7" t="s">
        <v>182</v>
      </c>
      <c r="H85" s="7" t="s">
        <v>404</v>
      </c>
      <c r="I85" s="7" t="s">
        <v>260</v>
      </c>
      <c r="J85" s="7" t="s">
        <v>37</v>
      </c>
      <c r="K85" s="7" t="s">
        <v>28</v>
      </c>
      <c r="L85" s="7" t="s">
        <v>366</v>
      </c>
      <c r="M85" s="7" t="s">
        <v>405</v>
      </c>
      <c r="N85" s="8">
        <v>19000</v>
      </c>
      <c r="O85" s="7">
        <v>55</v>
      </c>
    </row>
    <row r="86" spans="2:15" x14ac:dyDescent="0.4">
      <c r="B86" s="6">
        <v>86</v>
      </c>
      <c r="C86" s="7" t="s">
        <v>406</v>
      </c>
      <c r="D86" s="7" t="s">
        <v>103</v>
      </c>
      <c r="E86" s="7" t="s">
        <v>104</v>
      </c>
      <c r="F86" s="7" t="s">
        <v>75</v>
      </c>
      <c r="G86" s="7" t="s">
        <v>407</v>
      </c>
      <c r="H86" s="7" t="s">
        <v>408</v>
      </c>
      <c r="I86" s="7" t="s">
        <v>103</v>
      </c>
      <c r="J86" s="7" t="s">
        <v>37</v>
      </c>
      <c r="K86" s="7" t="s">
        <v>28</v>
      </c>
      <c r="L86" s="7" t="s">
        <v>409</v>
      </c>
      <c r="M86" s="7" t="s">
        <v>410</v>
      </c>
      <c r="N86" s="8">
        <v>18900</v>
      </c>
      <c r="O86" s="7">
        <v>57</v>
      </c>
    </row>
    <row r="87" spans="2:15" x14ac:dyDescent="0.4">
      <c r="B87" s="6">
        <v>88</v>
      </c>
      <c r="C87" s="7" t="s">
        <v>411</v>
      </c>
      <c r="D87" s="7" t="s">
        <v>32</v>
      </c>
      <c r="E87" s="7" t="s">
        <v>104</v>
      </c>
      <c r="F87" s="7" t="s">
        <v>75</v>
      </c>
      <c r="G87" s="7" t="s">
        <v>182</v>
      </c>
      <c r="H87" s="7" t="s">
        <v>412</v>
      </c>
      <c r="I87" s="7" t="s">
        <v>32</v>
      </c>
      <c r="J87" s="7" t="s">
        <v>37</v>
      </c>
      <c r="K87" s="7" t="s">
        <v>28</v>
      </c>
      <c r="L87" s="7" t="s">
        <v>366</v>
      </c>
      <c r="M87" s="7" t="s">
        <v>413</v>
      </c>
      <c r="N87" s="8">
        <v>18700</v>
      </c>
      <c r="O87" s="7">
        <v>57</v>
      </c>
    </row>
    <row r="88" spans="2:15" x14ac:dyDescent="0.4">
      <c r="B88" s="6">
        <v>89</v>
      </c>
      <c r="C88" s="7" t="s">
        <v>414</v>
      </c>
      <c r="D88" s="7" t="s">
        <v>278</v>
      </c>
      <c r="E88" s="7" t="s">
        <v>33</v>
      </c>
      <c r="F88" s="7" t="s">
        <v>34</v>
      </c>
      <c r="G88" s="7" t="s">
        <v>415</v>
      </c>
      <c r="H88" s="7" t="s">
        <v>416</v>
      </c>
      <c r="I88" s="7" t="s">
        <v>278</v>
      </c>
      <c r="J88" s="7" t="s">
        <v>37</v>
      </c>
      <c r="K88" s="7" t="s">
        <v>28</v>
      </c>
      <c r="L88" s="7" t="s">
        <v>417</v>
      </c>
      <c r="M88" s="7" t="s">
        <v>418</v>
      </c>
      <c r="N88" s="8">
        <v>18500</v>
      </c>
      <c r="O88" s="7">
        <v>77</v>
      </c>
    </row>
    <row r="89" spans="2:15" x14ac:dyDescent="0.4">
      <c r="B89" s="6">
        <v>89</v>
      </c>
      <c r="C89" s="7" t="s">
        <v>419</v>
      </c>
      <c r="D89" s="7" t="s">
        <v>51</v>
      </c>
      <c r="E89" s="7" t="s">
        <v>33</v>
      </c>
      <c r="F89" s="7" t="s">
        <v>34</v>
      </c>
      <c r="G89" s="7" t="s">
        <v>285</v>
      </c>
      <c r="H89" s="7" t="s">
        <v>194</v>
      </c>
      <c r="I89" s="7" t="s">
        <v>51</v>
      </c>
      <c r="J89" s="7" t="s">
        <v>37</v>
      </c>
      <c r="K89" s="7" t="s">
        <v>28</v>
      </c>
      <c r="L89" s="7" t="s">
        <v>420</v>
      </c>
      <c r="M89" s="7" t="s">
        <v>132</v>
      </c>
      <c r="N89" s="8">
        <v>18500</v>
      </c>
      <c r="O89" s="7">
        <v>65</v>
      </c>
    </row>
    <row r="90" spans="2:15" x14ac:dyDescent="0.4">
      <c r="B90" s="6">
        <v>89</v>
      </c>
      <c r="C90" s="7" t="s">
        <v>421</v>
      </c>
      <c r="D90" s="7" t="s">
        <v>278</v>
      </c>
      <c r="E90" s="7" t="s">
        <v>310</v>
      </c>
      <c r="F90" s="7" t="s">
        <v>24</v>
      </c>
      <c r="G90" s="7" t="s">
        <v>311</v>
      </c>
      <c r="H90" s="7" t="s">
        <v>422</v>
      </c>
      <c r="I90" s="7" t="s">
        <v>278</v>
      </c>
      <c r="J90" s="7" t="s">
        <v>37</v>
      </c>
      <c r="K90" s="7" t="s">
        <v>28</v>
      </c>
      <c r="L90" s="7" t="s">
        <v>423</v>
      </c>
      <c r="M90" s="7" t="s">
        <v>424</v>
      </c>
      <c r="N90" s="8">
        <v>18500</v>
      </c>
      <c r="O90" s="7">
        <v>70</v>
      </c>
    </row>
    <row r="91" spans="2:15" x14ac:dyDescent="0.4">
      <c r="B91" s="6">
        <v>92</v>
      </c>
      <c r="C91" s="7" t="s">
        <v>425</v>
      </c>
      <c r="D91" s="7" t="s">
        <v>51</v>
      </c>
      <c r="E91" s="7" t="s">
        <v>33</v>
      </c>
      <c r="F91" s="7" t="s">
        <v>34</v>
      </c>
      <c r="G91" s="7" t="s">
        <v>426</v>
      </c>
      <c r="H91" s="7" t="s">
        <v>427</v>
      </c>
      <c r="I91" s="7" t="s">
        <v>51</v>
      </c>
      <c r="J91" s="7" t="s">
        <v>37</v>
      </c>
      <c r="K91" s="7" t="s">
        <v>28</v>
      </c>
      <c r="L91" s="7" t="s">
        <v>428</v>
      </c>
      <c r="M91" s="7" t="s">
        <v>429</v>
      </c>
      <c r="N91" s="8">
        <v>18000</v>
      </c>
      <c r="O91" s="7">
        <v>61</v>
      </c>
    </row>
    <row r="92" spans="2:15" x14ac:dyDescent="0.4">
      <c r="B92" s="6">
        <v>93</v>
      </c>
      <c r="C92" s="7" t="s">
        <v>430</v>
      </c>
      <c r="D92" s="7" t="s">
        <v>260</v>
      </c>
      <c r="E92" s="7" t="s">
        <v>214</v>
      </c>
      <c r="F92" s="7" t="s">
        <v>24</v>
      </c>
      <c r="G92" s="7" t="s">
        <v>215</v>
      </c>
      <c r="H92" s="7" t="s">
        <v>431</v>
      </c>
      <c r="I92" s="7" t="s">
        <v>260</v>
      </c>
      <c r="J92" s="7" t="s">
        <v>27</v>
      </c>
      <c r="K92" s="7" t="s">
        <v>28</v>
      </c>
      <c r="L92" s="7" t="s">
        <v>432</v>
      </c>
      <c r="M92" s="7" t="s">
        <v>433</v>
      </c>
      <c r="N92" s="8">
        <v>17700</v>
      </c>
      <c r="O92" s="7">
        <v>72</v>
      </c>
    </row>
    <row r="93" spans="2:15" x14ac:dyDescent="0.4">
      <c r="B93" s="6">
        <v>94</v>
      </c>
      <c r="C93" s="7" t="s">
        <v>434</v>
      </c>
      <c r="D93" s="7" t="s">
        <v>51</v>
      </c>
      <c r="E93" s="7" t="s">
        <v>33</v>
      </c>
      <c r="F93" s="7" t="s">
        <v>34</v>
      </c>
      <c r="G93" s="7" t="s">
        <v>396</v>
      </c>
      <c r="H93" s="7" t="s">
        <v>194</v>
      </c>
      <c r="I93" s="7" t="s">
        <v>51</v>
      </c>
      <c r="J93" s="7" t="s">
        <v>37</v>
      </c>
      <c r="K93" s="7" t="s">
        <v>28</v>
      </c>
      <c r="L93" s="7" t="s">
        <v>435</v>
      </c>
      <c r="M93" s="7" t="s">
        <v>82</v>
      </c>
      <c r="N93" s="8">
        <v>17500</v>
      </c>
      <c r="O93" s="7">
        <v>66</v>
      </c>
    </row>
    <row r="94" spans="2:15" x14ac:dyDescent="0.4">
      <c r="B94" s="6">
        <v>94</v>
      </c>
      <c r="C94" s="7" t="s">
        <v>436</v>
      </c>
      <c r="D94" s="7" t="s">
        <v>51</v>
      </c>
      <c r="E94" s="7" t="s">
        <v>33</v>
      </c>
      <c r="F94" s="7" t="s">
        <v>34</v>
      </c>
      <c r="G94" s="7" t="s">
        <v>437</v>
      </c>
      <c r="H94" s="7" t="s">
        <v>251</v>
      </c>
      <c r="I94" s="7" t="s">
        <v>51</v>
      </c>
      <c r="J94" s="7" t="s">
        <v>37</v>
      </c>
      <c r="K94" s="7" t="s">
        <v>28</v>
      </c>
      <c r="L94" s="7" t="s">
        <v>438</v>
      </c>
      <c r="M94" s="7" t="s">
        <v>439</v>
      </c>
      <c r="N94" s="8">
        <v>17500</v>
      </c>
      <c r="O94" s="7">
        <v>87</v>
      </c>
    </row>
    <row r="95" spans="2:15" x14ac:dyDescent="0.4">
      <c r="B95" s="6">
        <v>94</v>
      </c>
      <c r="C95" s="7" t="s">
        <v>440</v>
      </c>
      <c r="D95" s="7" t="s">
        <v>260</v>
      </c>
      <c r="E95" s="7" t="s">
        <v>74</v>
      </c>
      <c r="F95" s="7" t="s">
        <v>75</v>
      </c>
      <c r="G95" s="7" t="s">
        <v>441</v>
      </c>
      <c r="H95" s="7" t="s">
        <v>431</v>
      </c>
      <c r="I95" s="7" t="s">
        <v>260</v>
      </c>
      <c r="J95" s="7" t="s">
        <v>27</v>
      </c>
      <c r="K95" s="7" t="s">
        <v>85</v>
      </c>
      <c r="L95" s="7" t="s">
        <v>442</v>
      </c>
      <c r="M95" s="7" t="s">
        <v>443</v>
      </c>
      <c r="N95" s="8">
        <v>17500</v>
      </c>
      <c r="O95" s="7">
        <v>73</v>
      </c>
    </row>
    <row r="96" spans="2:15" x14ac:dyDescent="0.4">
      <c r="B96" s="6">
        <v>97</v>
      </c>
      <c r="C96" s="7" t="s">
        <v>444</v>
      </c>
      <c r="D96" s="7" t="s">
        <v>445</v>
      </c>
      <c r="E96" s="7" t="s">
        <v>33</v>
      </c>
      <c r="F96" s="7" t="s">
        <v>34</v>
      </c>
      <c r="G96" s="7" t="s">
        <v>446</v>
      </c>
      <c r="H96" s="7" t="s">
        <v>447</v>
      </c>
      <c r="I96" s="7" t="s">
        <v>445</v>
      </c>
      <c r="J96" s="7" t="s">
        <v>37</v>
      </c>
      <c r="K96" s="7" t="s">
        <v>28</v>
      </c>
      <c r="L96" s="7" t="s">
        <v>448</v>
      </c>
      <c r="M96" s="7" t="s">
        <v>449</v>
      </c>
      <c r="N96" s="8">
        <v>17400</v>
      </c>
      <c r="O96" s="7">
        <v>90</v>
      </c>
    </row>
    <row r="97" spans="2:15" x14ac:dyDescent="0.4">
      <c r="B97" s="6">
        <v>97</v>
      </c>
      <c r="C97" s="7" t="s">
        <v>450</v>
      </c>
      <c r="D97" s="7" t="s">
        <v>22</v>
      </c>
      <c r="E97" s="7" t="s">
        <v>33</v>
      </c>
      <c r="F97" s="7" t="s">
        <v>34</v>
      </c>
      <c r="G97" s="7" t="s">
        <v>451</v>
      </c>
      <c r="H97" s="7" t="s">
        <v>452</v>
      </c>
      <c r="I97" s="7" t="s">
        <v>22</v>
      </c>
      <c r="J97" s="7" t="s">
        <v>37</v>
      </c>
      <c r="K97" s="7" t="s">
        <v>28</v>
      </c>
      <c r="L97" s="7" t="s">
        <v>453</v>
      </c>
      <c r="M97" s="7" t="s">
        <v>180</v>
      </c>
      <c r="N97" s="8">
        <v>17400</v>
      </c>
      <c r="O97" s="7">
        <v>83</v>
      </c>
    </row>
    <row r="98" spans="2:15" x14ac:dyDescent="0.4">
      <c r="B98" s="6">
        <v>99</v>
      </c>
      <c r="C98" s="7" t="s">
        <v>454</v>
      </c>
      <c r="D98" s="7" t="s">
        <v>61</v>
      </c>
      <c r="E98" s="7" t="s">
        <v>33</v>
      </c>
      <c r="F98" s="7" t="s">
        <v>34</v>
      </c>
      <c r="G98" s="7" t="s">
        <v>62</v>
      </c>
      <c r="H98" s="7" t="s">
        <v>455</v>
      </c>
      <c r="I98" s="7" t="s">
        <v>61</v>
      </c>
      <c r="J98" s="7" t="s">
        <v>27</v>
      </c>
      <c r="K98" s="7" t="s">
        <v>28</v>
      </c>
      <c r="L98" s="7" t="s">
        <v>456</v>
      </c>
      <c r="M98" s="7" t="s">
        <v>457</v>
      </c>
      <c r="N98" s="8">
        <v>17100</v>
      </c>
      <c r="O98" s="7">
        <v>92</v>
      </c>
    </row>
    <row r="99" spans="2:15" x14ac:dyDescent="0.4">
      <c r="B99" s="6">
        <v>100</v>
      </c>
      <c r="C99" s="7" t="s">
        <v>458</v>
      </c>
      <c r="D99" s="7" t="s">
        <v>51</v>
      </c>
      <c r="E99" s="7" t="s">
        <v>162</v>
      </c>
      <c r="F99" s="7" t="s">
        <v>24</v>
      </c>
      <c r="G99" s="7" t="s">
        <v>459</v>
      </c>
      <c r="H99" s="7" t="s">
        <v>460</v>
      </c>
      <c r="I99" s="7" t="s">
        <v>51</v>
      </c>
      <c r="J99" s="7" t="s">
        <v>27</v>
      </c>
      <c r="K99" s="7" t="s">
        <v>85</v>
      </c>
      <c r="L99" s="7" t="s">
        <v>461</v>
      </c>
      <c r="M99" s="7" t="s">
        <v>462</v>
      </c>
      <c r="N99" s="8">
        <v>16700</v>
      </c>
      <c r="O99" s="7">
        <v>70</v>
      </c>
    </row>
    <row r="102" spans="2:15" outlineLevel="1" x14ac:dyDescent="0.4">
      <c r="B102" s="41" t="s">
        <v>16</v>
      </c>
      <c r="C102" s="41" t="s">
        <v>531</v>
      </c>
      <c r="D102" s="41" t="s">
        <v>532</v>
      </c>
    </row>
    <row r="103" spans="2:15" outlineLevel="1" x14ac:dyDescent="0.4">
      <c r="B103" s="9" t="s">
        <v>28</v>
      </c>
      <c r="C103">
        <v>61</v>
      </c>
      <c r="D103">
        <v>23</v>
      </c>
    </row>
    <row r="104" spans="2:15" outlineLevel="1" x14ac:dyDescent="0.4">
      <c r="B104" s="9" t="s">
        <v>85</v>
      </c>
      <c r="C104">
        <v>1</v>
      </c>
      <c r="D104">
        <v>12</v>
      </c>
    </row>
    <row r="105" spans="2:15" outlineLevel="1" x14ac:dyDescent="0.4">
      <c r="B105" s="9" t="s">
        <v>533</v>
      </c>
      <c r="C105">
        <f>SUM(C103:C104)</f>
        <v>62</v>
      </c>
      <c r="D105">
        <f>SUM(D103:D104)</f>
        <v>35</v>
      </c>
    </row>
    <row r="106" spans="2:15" outlineLevel="1" x14ac:dyDescent="0.4"/>
    <row r="107" spans="2:15" outlineLevel="1" x14ac:dyDescent="0.4"/>
    <row r="108" spans="2:15" outlineLevel="1" x14ac:dyDescent="0.4">
      <c r="B108" s="41" t="s">
        <v>534</v>
      </c>
      <c r="C108" s="41" t="s">
        <v>535</v>
      </c>
    </row>
    <row r="109" spans="2:15" outlineLevel="1" x14ac:dyDescent="0.4">
      <c r="B109" t="s">
        <v>41</v>
      </c>
      <c r="C109">
        <v>16</v>
      </c>
    </row>
    <row r="110" spans="2:15" outlineLevel="1" x14ac:dyDescent="0.4">
      <c r="B110" t="s">
        <v>22</v>
      </c>
      <c r="C110">
        <v>15</v>
      </c>
    </row>
    <row r="111" spans="2:15" outlineLevel="1" x14ac:dyDescent="0.4">
      <c r="B111" t="s">
        <v>51</v>
      </c>
      <c r="C111">
        <v>14</v>
      </c>
    </row>
    <row r="112" spans="2:15" outlineLevel="1" x14ac:dyDescent="0.4">
      <c r="B112" t="s">
        <v>260</v>
      </c>
      <c r="C112">
        <v>11</v>
      </c>
    </row>
    <row r="113" spans="2:6" outlineLevel="1" x14ac:dyDescent="0.4">
      <c r="B113" t="s">
        <v>103</v>
      </c>
      <c r="C113">
        <v>7</v>
      </c>
    </row>
    <row r="114" spans="2:6" outlineLevel="1" x14ac:dyDescent="0.4">
      <c r="B114" t="s">
        <v>32</v>
      </c>
      <c r="C114">
        <v>6</v>
      </c>
    </row>
    <row r="115" spans="2:6" outlineLevel="1" x14ac:dyDescent="0.4">
      <c r="B115" t="s">
        <v>278</v>
      </c>
      <c r="C115">
        <v>5</v>
      </c>
    </row>
    <row r="116" spans="2:6" outlineLevel="1" x14ac:dyDescent="0.4">
      <c r="B116" t="s">
        <v>73</v>
      </c>
      <c r="C116">
        <v>5</v>
      </c>
    </row>
    <row r="117" spans="2:6" outlineLevel="1" x14ac:dyDescent="0.4">
      <c r="B117" t="s">
        <v>238</v>
      </c>
      <c r="C117">
        <v>5</v>
      </c>
    </row>
    <row r="118" spans="2:6" outlineLevel="1" x14ac:dyDescent="0.4"/>
    <row r="119" spans="2:6" outlineLevel="1" x14ac:dyDescent="0.4"/>
    <row r="120" spans="2:6" outlineLevel="1" x14ac:dyDescent="0.4">
      <c r="B120" s="41" t="s">
        <v>536</v>
      </c>
      <c r="C120" s="41" t="s">
        <v>535</v>
      </c>
      <c r="E120" s="41" t="s">
        <v>11</v>
      </c>
      <c r="F120" s="41" t="s">
        <v>535</v>
      </c>
    </row>
    <row r="121" spans="2:6" outlineLevel="1" x14ac:dyDescent="0.4">
      <c r="B121" t="s">
        <v>537</v>
      </c>
      <c r="C121">
        <v>4</v>
      </c>
      <c r="E121" t="s">
        <v>33</v>
      </c>
      <c r="F121">
        <v>42</v>
      </c>
    </row>
    <row r="122" spans="2:6" outlineLevel="1" x14ac:dyDescent="0.4">
      <c r="B122" t="s">
        <v>538</v>
      </c>
      <c r="C122">
        <v>2</v>
      </c>
      <c r="E122" t="s">
        <v>104</v>
      </c>
      <c r="F122">
        <v>13</v>
      </c>
    </row>
    <row r="123" spans="2:6" outlineLevel="1" x14ac:dyDescent="0.4">
      <c r="B123" t="s">
        <v>539</v>
      </c>
      <c r="C123">
        <v>20</v>
      </c>
      <c r="E123" t="s">
        <v>310</v>
      </c>
      <c r="F123">
        <v>6</v>
      </c>
    </row>
    <row r="124" spans="2:6" outlineLevel="1" x14ac:dyDescent="0.4">
      <c r="B124" t="s">
        <v>540</v>
      </c>
      <c r="C124">
        <v>23</v>
      </c>
      <c r="E124" t="s">
        <v>74</v>
      </c>
      <c r="F124">
        <v>5</v>
      </c>
    </row>
    <row r="125" spans="2:6" outlineLevel="1" x14ac:dyDescent="0.4">
      <c r="B125" t="s">
        <v>541</v>
      </c>
      <c r="C125">
        <v>23</v>
      </c>
      <c r="E125" t="s">
        <v>543</v>
      </c>
      <c r="F125">
        <v>31</v>
      </c>
    </row>
    <row r="126" spans="2:6" outlineLevel="1" x14ac:dyDescent="0.4">
      <c r="B126" t="s">
        <v>542</v>
      </c>
      <c r="C126">
        <v>25</v>
      </c>
    </row>
  </sheetData>
  <mergeCells count="2">
    <mergeCell ref="Q3:U7"/>
    <mergeCell ref="Q9:U13"/>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Veri temizleme</vt:lpstr>
      <vt:lpstr>Veri Cekme</vt:lpstr>
      <vt:lpstr>Formül Düzeltme</vt:lpstr>
      <vt:lpstr>Faiz Hesabı</vt:lpstr>
      <vt:lpstr>veri görselleştirme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Batuhan Sarı</cp:lastModifiedBy>
  <dcterms:created xsi:type="dcterms:W3CDTF">2026-01-25T23:58:13Z</dcterms:created>
  <dcterms:modified xsi:type="dcterms:W3CDTF">2026-03-08T12:59:17Z</dcterms:modified>
</cp:coreProperties>
</file>